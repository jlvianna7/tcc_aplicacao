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cc_aplicacao\Entendimento dos dados\trabalhoComplmentar para a escrita\"/>
    </mc:Choice>
  </mc:AlternateContent>
  <xr:revisionPtr revIDLastSave="0" documentId="8_{8A37DCA0-9BBD-4D0C-95A8-188E273E5796}" xr6:coauthVersionLast="47" xr6:coauthVersionMax="47" xr10:uidLastSave="{00000000-0000-0000-0000-000000000000}"/>
  <bookViews>
    <workbookView xWindow="28680" yWindow="-4665" windowWidth="29040" windowHeight="15720" xr2:uid="{2CBD456D-3F99-4BED-91E9-ADA8D5043E62}"/>
  </bookViews>
  <sheets>
    <sheet name="Planilha1" sheetId="1" r:id="rId1"/>
    <sheet name="Planilha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25" i="1"/>
  <c r="S12" i="1"/>
  <c r="Q9" i="1"/>
  <c r="Q10" i="1"/>
  <c r="Q11" i="1"/>
  <c r="Q12" i="1"/>
  <c r="Q7" i="1"/>
  <c r="Q8" i="1"/>
</calcChain>
</file>

<file path=xl/sharedStrings.xml><?xml version="1.0" encoding="utf-8"?>
<sst xmlns="http://schemas.openxmlformats.org/spreadsheetml/2006/main" count="33" uniqueCount="24">
  <si>
    <t>e1</t>
  </si>
  <si>
    <t>E1 – Da proporção de empresas que compraram pela internet</t>
  </si>
  <si>
    <t>E1 - Empresas que compraram pela internet</t>
  </si>
  <si>
    <t xml:space="preserve">E2 - Empresas que venderam pela internet </t>
  </si>
  <si>
    <t>G2 - Empresas que utilizaram pacotes de software ERP</t>
  </si>
  <si>
    <t>G3 - Empresas que utilizaram pacotes de software para CRM</t>
  </si>
  <si>
    <t>B18 - Empresas que pagaram por Serviços de Nuvem</t>
  </si>
  <si>
    <t>HA1 - Empresas que fazem análise de Big Data</t>
  </si>
  <si>
    <t>H3 - Empresas fazem uso de robôs industriais</t>
  </si>
  <si>
    <t>H3B - Que fazem uso de robôs de serviço</t>
  </si>
  <si>
    <t>H8 - Empresas que utilizaram dispositivos inteligentes ou Internet das Coisas</t>
  </si>
  <si>
    <t>H9A - Empresas que utilizaram Inteligência Artificial por tipo de tecnologia</t>
  </si>
  <si>
    <t>e2</t>
  </si>
  <si>
    <t>Ano</t>
  </si>
  <si>
    <t>Compraram</t>
  </si>
  <si>
    <t>Venderam</t>
  </si>
  <si>
    <t xml:space="preserve">Ano </t>
  </si>
  <si>
    <t>Crescimento</t>
  </si>
  <si>
    <t>Compraram pela internet</t>
  </si>
  <si>
    <t>Venderam pela internet</t>
  </si>
  <si>
    <t>Variação</t>
  </si>
  <si>
    <t>Questão</t>
  </si>
  <si>
    <t>Vf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</si>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</sst>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  <xf numFmtId="3" fontId="2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517120213393524E-2"/>
          <c:y val="0.14123482942866167"/>
          <c:w val="0.66880709943830308"/>
          <c:h val="0.78712373571684269"/>
        </c:manualLayout>
      </c:layout>
      <c:scatterChart>
        <c:scatterStyle val="lineMarker"/>
        <c:varyColors val="0"/>
        <c:ser>
          <c:idx val="0"/>
          <c:order val="0"/>
          <c:tx>
            <c:strRef>
              <c:f>Planilha1!$F$5</c:f>
              <c:strCache>
                <c:ptCount val="1"/>
                <c:pt idx="0">
                  <c:v>Compraram</c:v>
                </c:pt>
              </c:strCache>
            </c:strRef>
          </c:tx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Planilha1!$E$6:$E$12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2021</c:v>
                </c:pt>
                <c:pt idx="5">
                  <c:v>2023</c:v>
                </c:pt>
                <c:pt idx="6">
                  <c:v>2024</c:v>
                </c:pt>
              </c:numCache>
            </c:numRef>
          </c:xVal>
          <c:yVal>
            <c:numRef>
              <c:f>Planilha1!$F$6:$F$12</c:f>
              <c:numCache>
                <c:formatCode>General</c:formatCode>
                <c:ptCount val="7"/>
                <c:pt idx="0">
                  <c:v>63</c:v>
                </c:pt>
                <c:pt idx="1">
                  <c:v>63</c:v>
                </c:pt>
                <c:pt idx="2">
                  <c:v>65</c:v>
                </c:pt>
                <c:pt idx="3">
                  <c:v>70</c:v>
                </c:pt>
                <c:pt idx="4">
                  <c:v>76</c:v>
                </c:pt>
                <c:pt idx="5">
                  <c:v>72</c:v>
                </c:pt>
                <c:pt idx="6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2-47CB-9E0D-B0470E85EF80}"/>
            </c:ext>
          </c:extLst>
        </c:ser>
        <c:ser>
          <c:idx val="1"/>
          <c:order val="1"/>
          <c:tx>
            <c:strRef>
              <c:f>Planilha1!$G$5</c:f>
              <c:strCache>
                <c:ptCount val="1"/>
                <c:pt idx="0">
                  <c:v>Venderam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Planilha1!$E$6:$E$12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2021</c:v>
                </c:pt>
                <c:pt idx="5">
                  <c:v>2023</c:v>
                </c:pt>
                <c:pt idx="6">
                  <c:v>2024</c:v>
                </c:pt>
              </c:numCache>
            </c:numRef>
          </c:xVal>
          <c:yVal>
            <c:numRef>
              <c:f>Planilha1!$G$6:$G$12</c:f>
              <c:numCache>
                <c:formatCode>General</c:formatCode>
                <c:ptCount val="7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57</c:v>
                </c:pt>
                <c:pt idx="4">
                  <c:v>73</c:v>
                </c:pt>
                <c:pt idx="5">
                  <c:v>70</c:v>
                </c:pt>
                <c:pt idx="6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2-47CB-9E0D-B0470E85EF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98380303"/>
        <c:axId val="1198377903"/>
      </c:scatterChart>
      <c:valAx>
        <c:axId val="1198380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>
                    <a:latin typeface="Arial" panose="020B0604020202020204" pitchFamily="34" charset="0"/>
                    <a:cs typeface="Arial" panose="020B0604020202020204" pitchFamily="34" charset="0"/>
                  </a:rPr>
                  <a:t>Período avaliado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377903"/>
        <c:crosses val="autoZero"/>
        <c:crossBetween val="midCat"/>
      </c:valAx>
      <c:valAx>
        <c:axId val="1198377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>
                    <a:latin typeface="Arial" panose="020B0604020202020204" pitchFamily="34" charset="0"/>
                    <a:cs typeface="Arial" panose="020B0604020202020204" pitchFamily="34" charset="0"/>
                  </a:rPr>
                  <a:t>% de empresas quye utilizam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38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17</xdr:row>
      <xdr:rowOff>46671</xdr:rowOff>
    </xdr:from>
    <xdr:to>
      <xdr:col>11</xdr:col>
      <xdr:colOff>438150</xdr:colOff>
      <xdr:row>35</xdr:row>
      <xdr:rowOff>116204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0AB369-224A-D12C-7500-9B60347BA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78F-7A1F-4E78-9FDF-B5E1BE674C48}">
  <dimension ref="A1:S26"/>
  <sheetViews>
    <sheetView tabSelected="1" workbookViewId="0">
      <selection activeCell="P24" sqref="P24:S26"/>
    </sheetView>
  </sheetViews>
  <sheetFormatPr defaultRowHeight="13.8" x14ac:dyDescent="0.25"/>
  <cols>
    <col min="1" max="10" width="8.88671875" style="2"/>
    <col min="11" max="11" width="16.44140625" style="2" customWidth="1"/>
    <col min="12" max="15" width="8.88671875" style="2"/>
    <col min="16" max="16" width="26.6640625" style="2" customWidth="1"/>
    <col min="17" max="17" width="10.5546875" style="2" bestFit="1" customWidth="1"/>
    <col min="18" max="18" width="8.88671875" style="2"/>
    <col min="19" max="19" width="11.109375" style="2" bestFit="1" customWidth="1"/>
    <col min="20" max="16384" width="8.88671875" style="2"/>
  </cols>
  <sheetData>
    <row r="1" spans="1:19" x14ac:dyDescent="0.25">
      <c r="A1" s="1" t="s">
        <v>1</v>
      </c>
    </row>
    <row r="3" spans="1:19" x14ac:dyDescent="0.25">
      <c r="A3" s="2">
        <v>2014</v>
      </c>
      <c r="B3" s="2" t="s">
        <v>0</v>
      </c>
      <c r="C3" s="2">
        <v>63</v>
      </c>
    </row>
    <row r="4" spans="1:19" x14ac:dyDescent="0.25">
      <c r="A4" s="2">
        <v>2015</v>
      </c>
      <c r="B4" s="2" t="s">
        <v>0</v>
      </c>
      <c r="C4" s="2">
        <v>63</v>
      </c>
    </row>
    <row r="5" spans="1:19" x14ac:dyDescent="0.25">
      <c r="A5" s="2">
        <v>2017</v>
      </c>
      <c r="B5" s="2" t="s">
        <v>0</v>
      </c>
      <c r="C5" s="2">
        <v>65</v>
      </c>
      <c r="E5" s="2" t="s">
        <v>13</v>
      </c>
      <c r="F5" s="2" t="s">
        <v>14</v>
      </c>
      <c r="G5" s="2" t="s">
        <v>15</v>
      </c>
    </row>
    <row r="6" spans="1:19" x14ac:dyDescent="0.25">
      <c r="A6" s="2">
        <v>2019</v>
      </c>
      <c r="B6" s="2" t="s">
        <v>0</v>
      </c>
      <c r="C6" s="2">
        <v>70</v>
      </c>
      <c r="E6" s="2">
        <v>2014</v>
      </c>
      <c r="F6" s="2">
        <v>63</v>
      </c>
      <c r="G6" s="2">
        <v>21</v>
      </c>
      <c r="O6" s="2">
        <v>2014</v>
      </c>
      <c r="P6" s="2">
        <v>63</v>
      </c>
      <c r="Q6" s="2">
        <v>0</v>
      </c>
    </row>
    <row r="7" spans="1:19" x14ac:dyDescent="0.25">
      <c r="A7" s="2">
        <v>2021</v>
      </c>
      <c r="B7" s="2" t="s">
        <v>0</v>
      </c>
      <c r="C7" s="2">
        <v>76</v>
      </c>
      <c r="E7" s="2">
        <v>2015</v>
      </c>
      <c r="F7" s="2">
        <v>63</v>
      </c>
      <c r="G7" s="2">
        <v>21</v>
      </c>
      <c r="O7" s="2">
        <v>2015</v>
      </c>
      <c r="P7" s="2">
        <v>63</v>
      </c>
      <c r="Q7" s="2">
        <f>((P7/P6)-1)*100</f>
        <v>0</v>
      </c>
    </row>
    <row r="8" spans="1:19" x14ac:dyDescent="0.25">
      <c r="A8" s="2">
        <v>2023</v>
      </c>
      <c r="B8" s="2" t="s">
        <v>0</v>
      </c>
      <c r="C8" s="2">
        <v>72</v>
      </c>
      <c r="E8" s="2">
        <v>2017</v>
      </c>
      <c r="F8" s="2">
        <v>65</v>
      </c>
      <c r="G8" s="2">
        <v>21</v>
      </c>
      <c r="O8" s="2">
        <v>2017</v>
      </c>
      <c r="P8" s="2">
        <v>65</v>
      </c>
      <c r="Q8" s="2">
        <f>((P8/P7)-1)*100</f>
        <v>3.1746031746031855</v>
      </c>
    </row>
    <row r="9" spans="1:19" x14ac:dyDescent="0.25">
      <c r="A9" s="2">
        <v>2024</v>
      </c>
      <c r="B9" s="2" t="s">
        <v>0</v>
      </c>
      <c r="C9" s="2">
        <v>71</v>
      </c>
      <c r="E9" s="2">
        <v>2019</v>
      </c>
      <c r="F9" s="2">
        <v>70</v>
      </c>
      <c r="G9" s="2">
        <v>57</v>
      </c>
      <c r="O9" s="2">
        <v>2019</v>
      </c>
      <c r="P9" s="2">
        <v>70</v>
      </c>
      <c r="Q9" s="2">
        <f t="shared" ref="Q9:Q12" si="0">((P9/P8)-1)*100</f>
        <v>7.6923076923076872</v>
      </c>
    </row>
    <row r="10" spans="1:19" x14ac:dyDescent="0.25">
      <c r="A10" s="2">
        <v>2019</v>
      </c>
      <c r="B10" s="2" t="s">
        <v>12</v>
      </c>
      <c r="C10" s="2">
        <v>57</v>
      </c>
      <c r="E10" s="2">
        <v>2021</v>
      </c>
      <c r="F10" s="2">
        <v>76</v>
      </c>
      <c r="G10" s="2">
        <v>73</v>
      </c>
      <c r="O10" s="2">
        <v>2021</v>
      </c>
      <c r="P10" s="2">
        <v>76</v>
      </c>
      <c r="Q10" s="2">
        <f t="shared" si="0"/>
        <v>8.5714285714285623</v>
      </c>
    </row>
    <row r="11" spans="1:19" x14ac:dyDescent="0.25">
      <c r="A11" s="2">
        <v>2021</v>
      </c>
      <c r="B11" s="2" t="s">
        <v>12</v>
      </c>
      <c r="C11" s="2">
        <v>73</v>
      </c>
      <c r="E11" s="2">
        <v>2023</v>
      </c>
      <c r="F11" s="2">
        <v>72</v>
      </c>
      <c r="G11" s="2">
        <v>70</v>
      </c>
      <c r="O11" s="2">
        <v>2023</v>
      </c>
      <c r="P11" s="2">
        <v>72</v>
      </c>
      <c r="Q11" s="2">
        <f t="shared" si="0"/>
        <v>-5.2631578947368478</v>
      </c>
    </row>
    <row r="12" spans="1:19" x14ac:dyDescent="0.25">
      <c r="A12" s="2">
        <v>2023</v>
      </c>
      <c r="B12" s="2" t="s">
        <v>12</v>
      </c>
      <c r="C12" s="2">
        <v>70</v>
      </c>
      <c r="E12" s="2">
        <v>2024</v>
      </c>
      <c r="F12" s="2">
        <v>71</v>
      </c>
      <c r="G12" s="2">
        <v>61</v>
      </c>
      <c r="O12" s="2">
        <v>2024</v>
      </c>
      <c r="P12" s="2">
        <v>71</v>
      </c>
      <c r="Q12" s="2">
        <f t="shared" si="0"/>
        <v>-1.388888888888884</v>
      </c>
      <c r="S12" s="2">
        <f>P12</f>
        <v>71</v>
      </c>
    </row>
    <row r="13" spans="1:19" x14ac:dyDescent="0.25">
      <c r="A13" s="2">
        <v>2024</v>
      </c>
      <c r="B13" s="2" t="s">
        <v>12</v>
      </c>
      <c r="C13" s="2">
        <v>61</v>
      </c>
    </row>
    <row r="15" spans="1:19" x14ac:dyDescent="0.25">
      <c r="O15" s="2" t="s">
        <v>16</v>
      </c>
      <c r="P15" s="2" t="s">
        <v>17</v>
      </c>
    </row>
    <row r="16" spans="1:19" x14ac:dyDescent="0.25">
      <c r="O16" s="2">
        <v>2014</v>
      </c>
      <c r="P16" s="2">
        <v>0</v>
      </c>
    </row>
    <row r="17" spans="15:19" x14ac:dyDescent="0.25">
      <c r="O17" s="2">
        <v>2015</v>
      </c>
      <c r="P17" s="2">
        <v>0</v>
      </c>
    </row>
    <row r="18" spans="15:19" x14ac:dyDescent="0.25">
      <c r="O18" s="2">
        <v>2017</v>
      </c>
      <c r="P18" s="3">
        <v>3.1746031746031855</v>
      </c>
    </row>
    <row r="19" spans="15:19" x14ac:dyDescent="0.25">
      <c r="O19" s="2">
        <v>2019</v>
      </c>
      <c r="P19" s="3">
        <v>7.6923076923076872</v>
      </c>
    </row>
    <row r="20" spans="15:19" x14ac:dyDescent="0.25">
      <c r="O20" s="2">
        <v>2021</v>
      </c>
      <c r="P20" s="3">
        <v>8.5714285714285623</v>
      </c>
    </row>
    <row r="21" spans="15:19" x14ac:dyDescent="0.25">
      <c r="O21" s="2">
        <v>2023</v>
      </c>
      <c r="P21" s="3">
        <v>-5.2631578947368478</v>
      </c>
    </row>
    <row r="22" spans="15:19" x14ac:dyDescent="0.25">
      <c r="O22" s="2">
        <v>2024</v>
      </c>
      <c r="P22" s="3">
        <v>-1.388888888888884</v>
      </c>
    </row>
    <row r="24" spans="15:19" x14ac:dyDescent="0.25">
      <c r="P24" s="9" t="s">
        <v>21</v>
      </c>
      <c r="Q24" s="10" t="s">
        <v>23</v>
      </c>
      <c r="R24" s="10" t="s">
        <v>22</v>
      </c>
      <c r="S24" s="10" t="s">
        <v>20</v>
      </c>
    </row>
    <row r="25" spans="15:19" x14ac:dyDescent="0.25">
      <c r="P25" s="2" t="s">
        <v>18</v>
      </c>
      <c r="Q25" s="5">
        <v>63</v>
      </c>
      <c r="R25" s="5">
        <v>71</v>
      </c>
      <c r="S25" s="7">
        <f>((R25-Q25)/Q25)</f>
        <v>0.12698412698412698</v>
      </c>
    </row>
    <row r="26" spans="15:19" x14ac:dyDescent="0.25">
      <c r="P26" s="4" t="s">
        <v>19</v>
      </c>
      <c r="Q26" s="6">
        <v>21</v>
      </c>
      <c r="R26" s="6">
        <v>61</v>
      </c>
      <c r="S26" s="8">
        <f>((R26-Q26)/Q26)</f>
        <v>1.9047619047619047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006F-7C3E-40B3-AA90-546CF1ABE370}">
  <dimension ref="A1:A10"/>
  <sheetViews>
    <sheetView workbookViewId="0">
      <selection activeCell="A2" sqref="A2"/>
    </sheetView>
  </sheetViews>
  <sheetFormatPr defaultRowHeight="14.4" x14ac:dyDescent="0.3"/>
  <cols>
    <col min="1" max="1" width="98.21875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2026-02-01T23:49:19Z</dcterms:created>
  <dcterms:modified xsi:type="dcterms:W3CDTF">2026-02-02T01:57:39Z</dcterms:modified>
</cp:coreProperties>
</file>