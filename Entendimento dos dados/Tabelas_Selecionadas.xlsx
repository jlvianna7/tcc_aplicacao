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cc_aplicacao\Entendimento dos dados\"/>
    </mc:Choice>
  </mc:AlternateContent>
  <xr:revisionPtr revIDLastSave="0" documentId="13_ncr:1_{08108213-1760-4FBC-B599-ACCF2660F71F}" xr6:coauthVersionLast="47" xr6:coauthVersionMax="47" xr10:uidLastSave="{00000000-0000-0000-0000-000000000000}"/>
  <bookViews>
    <workbookView xWindow="28680" yWindow="-4665" windowWidth="29040" windowHeight="15720" xr2:uid="{0228065A-DD01-4A31-BC54-03B71CE945F9}"/>
  </bookViews>
  <sheets>
    <sheet name="Variáveis" sheetId="1" r:id="rId1"/>
    <sheet name="Planilha2" sheetId="12" r:id="rId2"/>
    <sheet name="A1A" sheetId="11" r:id="rId3"/>
    <sheet name="IOT" sheetId="3" r:id="rId4"/>
    <sheet name="Robos" sheetId="5" r:id="rId5"/>
    <sheet name="Bigdata" sheetId="7" r:id="rId6"/>
    <sheet name="IA tipo" sheetId="8" r:id="rId7"/>
    <sheet name="IA aplicação" sheetId="9" r:id="rId8"/>
    <sheet name="NÃO IA" sheetId="10" r:id="rId9"/>
  </sheets>
  <definedNames>
    <definedName name="_xlnm._FilterDatabase" localSheetId="0" hidden="1">Variáveis!$A$1:$J$23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1" l="1"/>
  <c r="R6" i="11"/>
  <c r="R7" i="11"/>
  <c r="R8" i="11"/>
  <c r="R4" i="11"/>
  <c r="M5" i="11"/>
  <c r="M6" i="11"/>
  <c r="M7" i="11"/>
  <c r="M8" i="11"/>
  <c r="M4" i="11"/>
</calcChain>
</file>

<file path=xl/sharedStrings.xml><?xml version="1.0" encoding="utf-8"?>
<sst xmlns="http://schemas.openxmlformats.org/spreadsheetml/2006/main" count="375" uniqueCount="144">
  <si>
    <t>Tabela</t>
  </si>
  <si>
    <t>E1 - EMPRESAS QUE COMPRARAM PELA INTERNET NOS ÚLTIMOS 12 MESES</t>
  </si>
  <si>
    <t>E2 - PROPORÇÃO DE EMPRESAS QUE VENDERAM PELA INTERNET NOS ÚLTIMOS 12 MESES</t>
  </si>
  <si>
    <t>Situação</t>
  </si>
  <si>
    <t>G3 - PROPORÇÃO DE EMPRESAS QUE UTILIZARAM ALGUM APLICATIVO DE CRM PARA GERENCIAR INFORMAÇÕES DE CLIENTES NOS ÚLTIMOS 12 MESES</t>
  </si>
  <si>
    <t>EB2</t>
  </si>
  <si>
    <t>H3 - EMPRESAS, POR USO DE ROBÔS INDUSTRIAIS</t>
  </si>
  <si>
    <t>H3B - EMPRESAS, POR TIPO FUNÇÃO EXECUTADA PELO ROBÔ DE SERVIÇO</t>
  </si>
  <si>
    <t>Avaliar validade</t>
  </si>
  <si>
    <t>H4 - EMPRESAS, POR REALIZAÇÃO DE IMPRESSÃO 3D</t>
  </si>
  <si>
    <t>H7 - EMPRESAS QUE UTILIZARAM DISPOSITIVOS INTELIGENTES OU INTERNET DAS COISAS</t>
  </si>
  <si>
    <t>H8 - EMPRESAS QUE UTILIZARAM DISPOSITIVOS INTELIGENTES OU INTERNET DAS COISAS, POR TIPO</t>
  </si>
  <si>
    <t>H9 - EMPRESAS QUE UTILIZARAM TECNOLOGIAS DE INTELIGÊNCIA ARTIFICIAL</t>
  </si>
  <si>
    <t>H9A - EMPRESAS QUE UTILIZARAM TECNOLOGIAS DE INTELIGÊNCIA ARTIFICIAL, POR TIPO</t>
  </si>
  <si>
    <t>H10 - EMPRESAS QUE UTILIZARAM TECNOLOGIAS DE INTELIGÊNCIA ARTIFICIAL, POR TIPO DE APLICAÇÃO</t>
  </si>
  <si>
    <r>
      <t xml:space="preserve">H13 - EMPRESAS QUE </t>
    </r>
    <r>
      <rPr>
        <b/>
        <sz val="11"/>
        <color rgb="FFC00000"/>
        <rFont val="Arial"/>
        <family val="2"/>
      </rPr>
      <t>NÃO UTILIZARAM</t>
    </r>
    <r>
      <rPr>
        <sz val="11"/>
        <color rgb="FFC00000"/>
        <rFont val="Arial"/>
        <family val="2"/>
      </rPr>
      <t xml:space="preserve"> TECNOLOGIAS DE INTELIGÊNCIA ARTIFICIAL, POR TIPO DE OBSTÁCULO</t>
    </r>
  </si>
  <si>
    <t>Indicativo de necessidade de GMO?</t>
  </si>
  <si>
    <t>B18 - EMPRESAS QUE PAGARAM POR SERVIÇOS EM NUVEM NOS ÚLTIMOS 12 MESES, POR TIPO DE SERVIÇO</t>
  </si>
  <si>
    <t>Tipo pesquisa</t>
  </si>
  <si>
    <t>Básica</t>
  </si>
  <si>
    <t>Mais variáveis</t>
  </si>
  <si>
    <t>G2 - PROPORÇÃO DE EMPRESAS QUE UTILIZARAM PACOTES DE SOFTWARE ERP PARA INTEGRAR OS DADOS E PROCESSOS DE SEUS DEPARTAMENTOS EM UM SISTEMA ÚNICO</t>
  </si>
  <si>
    <t>Pronto</t>
  </si>
  <si>
    <t>Publicações</t>
  </si>
  <si>
    <t>B18a - EMPRESAS QUE PAGARAM POR SERVIÇOS EM NUVEM (Software de escritório)</t>
  </si>
  <si>
    <t>B18b - EMPRESAS QUE PAGARAM POR SERVIÇOS EM NUVEM (Armazenamento ou Banco de Dados)</t>
  </si>
  <si>
    <t>B18c - EMPRESAS QUE PAGARAM POR SERVIÇOS EM NUVEM (Capacidade de processamento)</t>
  </si>
  <si>
    <t>B18d - EMPRESAS QUE PAGARAM POR SERVIÇOS EM NUVEM (Ambiente de desenvolvimento)</t>
  </si>
  <si>
    <t>Trabalhos de montagem</t>
  </si>
  <si>
    <t>Gerenciamento de consumo de energia, como medidores, termostatos ou lâmpadas inteligentes</t>
  </si>
  <si>
    <t>Segurança de instalações, como sistemas de alarme, detectores de fumaça, travas de portas e câmeras de segurança inteligentes</t>
  </si>
  <si>
    <t>Processos de produção, como sensores ou etiquetas de identificação por radiofrequência que são monitorados ou controlados via Internet e usados para monitorar ou automatizar processos</t>
  </si>
  <si>
    <t>Gestão de logística, como sensores monitorados ou controlados via Internet para rastreamento de produtos ou veículos na gestão de depósito</t>
  </si>
  <si>
    <t>Manutenção de equipamentos, como sensores monitorados ou controlados através da Internet para monitorar as necessidades de manutenção de máquinas ou veículos</t>
  </si>
  <si>
    <t>Atendimento ao cliente, como câmeras ou sensores inteligentes monitorados ou controlados através da Internet para monitorar as atividades dos clientes ou oferecer-lhes uma experiência de compra personalizada</t>
  </si>
  <si>
    <t>Vigilância</t>
  </si>
  <si>
    <t>Transporte de pessoas ou mercadorias</t>
  </si>
  <si>
    <t>Limpeza ou elkiminação de resíduos</t>
  </si>
  <si>
    <t>Gerenciamento de estoque</t>
  </si>
  <si>
    <t>Atendimento robótico ao cliente</t>
  </si>
  <si>
    <t>Construção e reparos</t>
  </si>
  <si>
    <t>Ano</t>
  </si>
  <si>
    <t>Medidores de consumo inteligentes</t>
  </si>
  <si>
    <t>Sistemas de segurança</t>
  </si>
  <si>
    <t>Processo de produção</t>
  </si>
  <si>
    <t>Rastreamento de produtos e logística</t>
  </si>
  <si>
    <t>Monitoramento e manutenção de equipamentos</t>
  </si>
  <si>
    <t>Atendimento ao cliente</t>
  </si>
  <si>
    <t>A partir de dados próprios da empresa, provenientes de dispositivos inteligentes ou sensores, como trocas de dados entre máquinas, sensores digitais, etiquetas de identificação por radiofrequência, etc.</t>
  </si>
  <si>
    <t>A partir de dados de geolocalização provenientes do uso de dispositivos portáteis, como telefone móvel, conexão wireless ou GPS</t>
  </si>
  <si>
    <t>A partir de dados gerados a partir de mídias sociais, como redes sociais, blogs, sites de compartilhamento de conteúdo de multimídia</t>
  </si>
  <si>
    <t>A partir de outras fontes de Big Data</t>
  </si>
  <si>
    <t>A partir de outras fontes de big data</t>
  </si>
  <si>
    <t>66</t>
  </si>
  <si>
    <t>60</t>
  </si>
  <si>
    <t>57</t>
  </si>
  <si>
    <t>34</t>
  </si>
  <si>
    <t>Mineração de texto e análise da linguagem escrita</t>
  </si>
  <si>
    <t>Reconhecimento de fala, que converte a linguagem falada em formato legível para máquinas</t>
  </si>
  <si>
    <t>Geração de linguagem natural (GLN) para linguagem escrita ou falada</t>
  </si>
  <si>
    <t>Reconhecimento e processamento de imagens, que identificam objetos ou pessoas</t>
  </si>
  <si>
    <t>Machine learning, como deep learning, para predição e análise de dados</t>
  </si>
  <si>
    <t>Automatização de processos de fluxos de trabalho</t>
  </si>
  <si>
    <t>Movimentação física de máquinas por meio de decisões autônomas, como robôs, veículos e drones autônomos</t>
  </si>
  <si>
    <t>Reconhecimento e processamento de imagens que identificam objetos ou pessoas</t>
  </si>
  <si>
    <t>Reconhecimento de fala</t>
  </si>
  <si>
    <t>Geração de linguagem natural</t>
  </si>
  <si>
    <t>Machine learning</t>
  </si>
  <si>
    <t>Automatização de processos</t>
  </si>
  <si>
    <t>Marketing ou vendas</t>
  </si>
  <si>
    <t>Processos de produção</t>
  </si>
  <si>
    <t>Organização de processos de administração de negócios</t>
  </si>
  <si>
    <t>Gestão de empresas</t>
  </si>
  <si>
    <t>Logística</t>
  </si>
  <si>
    <t>Segurança digital</t>
  </si>
  <si>
    <t>Gestão de recursos humanos ou recrutamento</t>
  </si>
  <si>
    <t>Porcessos administrativos</t>
  </si>
  <si>
    <t>Recursos humanos</t>
  </si>
  <si>
    <t>Análise de textos</t>
  </si>
  <si>
    <t>Processamento de imagens</t>
  </si>
  <si>
    <t>a</t>
  </si>
  <si>
    <t>b</t>
  </si>
  <si>
    <t>c</t>
  </si>
  <si>
    <t>d</t>
  </si>
  <si>
    <t>e</t>
  </si>
  <si>
    <t>f</t>
  </si>
  <si>
    <t>g</t>
  </si>
  <si>
    <t>Máquinas e veículos autônomos</t>
  </si>
  <si>
    <t>HA1 - EMPRESAS QUE FAZEM ANÁLISES DE BIG DATA</t>
  </si>
  <si>
    <t>H3B - EMPRESAS, POR TIPO DE ROBÔ DE SERVIÇO</t>
  </si>
  <si>
    <t>Vigilância, segurança ou tarefas de inspeção, como o uso de drones, etiquetas de identificação de radiofrequência, etc.</t>
  </si>
  <si>
    <t>Transporte de pessoas ou mercadorias, como o uso de veículo guiado automaticamente, etc.</t>
  </si>
  <si>
    <t>Limpeza ou tarefas de eliminação de resíduos</t>
  </si>
  <si>
    <t>Sistemas de gerenciamento de estoque, como paletização e manuseio de mercadorias</t>
  </si>
  <si>
    <t>Tarefas de balconista de loja robótico</t>
  </si>
  <si>
    <t>Trabalhos de construção ou reparos</t>
  </si>
  <si>
    <t/>
  </si>
  <si>
    <t>Vigilância, segurança ou tarefas de inspeção</t>
  </si>
  <si>
    <t>Limpeza ou eliminação de resíduos</t>
  </si>
  <si>
    <t>Porque os custos parecem ser muito altos</t>
  </si>
  <si>
    <t>Por falta de pessoas capacitadas na empresa para usar essas tecnologias</t>
  </si>
  <si>
    <t>Por incompatibilidade com equipamentos, software ou sistemas existentes na empresa</t>
  </si>
  <si>
    <t>Por dificuldades de disponibilidade ou qualidade dos dados necessários para o uso dessas tecnologias</t>
  </si>
  <si>
    <t>Por preocupações com relação à violação da proteção de dados e privacidade</t>
  </si>
  <si>
    <t>Por falta de clareza sobre as consequências legais do uso dessas tecnologias, como em casos de danos causados pelo uso de Inteligência Artificial</t>
  </si>
  <si>
    <t>Por considerações éticas</t>
  </si>
  <si>
    <t>Porque as tecnologias de Inteligência Artificial não são úteis para a empresa</t>
  </si>
  <si>
    <t>Por falta de conhecimento sobre tecnologias de Inteligência Artificial adequadas para as atividades da empresa</t>
  </si>
  <si>
    <t>Custos</t>
  </si>
  <si>
    <t>Capacitação</t>
  </si>
  <si>
    <t>Incompatibilidade técnica</t>
  </si>
  <si>
    <t>Dificuldade com os dados</t>
  </si>
  <si>
    <t>Preocupação com LGPD</t>
  </si>
  <si>
    <t>Preocupação com consequências legais</t>
  </si>
  <si>
    <t>Questões éticas</t>
  </si>
  <si>
    <t>Por falta de conhecimento</t>
  </si>
  <si>
    <t>Não enxergam utilidade</t>
  </si>
  <si>
    <t>A1A - EMPRESAS EM QUE HÁ UMA ÁREA OU DEPARTAMENTO DE TI</t>
  </si>
  <si>
    <t>A1A</t>
  </si>
  <si>
    <t>total</t>
  </si>
  <si>
    <t>Sim</t>
  </si>
  <si>
    <t>Não</t>
  </si>
  <si>
    <t>Não sabe</t>
  </si>
  <si>
    <t>Não respondeu</t>
  </si>
  <si>
    <t>Questão</t>
  </si>
  <si>
    <t>Variaveis</t>
  </si>
  <si>
    <t>H3 - Empresas fazem uso de robôs indutriais</t>
  </si>
  <si>
    <t>H3B - Que fazem uso de robôs de serviço</t>
  </si>
  <si>
    <t>A1A - Empresas em que há uam área ou departamento de TI</t>
  </si>
  <si>
    <t>G2 - Empresas que utilizaram pacotes de software ERP</t>
  </si>
  <si>
    <t>G3 - Empresas que utilizaram pacotes de software para CRM</t>
  </si>
  <si>
    <t>B18 - Empresas que pagaram por Serviços de Nuvem</t>
  </si>
  <si>
    <t>E1 - Empresas que compraram pela internet</t>
  </si>
  <si>
    <t xml:space="preserve">E2 - Empresas que venderam pela internet </t>
  </si>
  <si>
    <t>HA1 - Empresas que fazem análise de Big Data</t>
  </si>
  <si>
    <t>H4B - Empresas que fazem uso de impressão 3D</t>
  </si>
  <si>
    <t>H8 - Empresas que utilizaram dispositivos inteligentes ou Internet das Coisas</t>
  </si>
  <si>
    <t>H9A - Empresas que utilizaram Inteligência Artificial por tipo de tecnologia</t>
  </si>
  <si>
    <t>H10 - Empresas que utilizaram Inteligência Artifical por tipo de aplicação</t>
  </si>
  <si>
    <t>H13 - Empresas que não utilizaram IA por algum típo de obstáculo</t>
  </si>
  <si>
    <t>X</t>
  </si>
  <si>
    <t>sim / não</t>
  </si>
  <si>
    <t>qualificadas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</si>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</sst>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_ ;\-#,##0\ "/>
  </numFmts>
  <fonts count="20" x14ac:knownFonts="1">
    <font>
      <sz val="11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2A2A2A"/>
      <name val="Arial"/>
      <family val="2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trike/>
      <sz val="11"/>
      <color rgb="FF6C757D"/>
      <name val="Arial"/>
      <family val="2"/>
    </font>
    <font>
      <b/>
      <sz val="11"/>
      <color rgb="FF6C757D"/>
      <name val="Arial"/>
      <family val="2"/>
    </font>
    <font>
      <strike/>
      <sz val="11"/>
      <color rgb="FF2A2A2A"/>
      <name val="Arial"/>
      <family val="2"/>
    </font>
    <font>
      <strike/>
      <u/>
      <sz val="11"/>
      <color rgb="FF2A2A2A"/>
      <name val="Arial"/>
      <family val="2"/>
    </font>
    <font>
      <sz val="11"/>
      <color rgb="FF2A2A2A"/>
      <name val="Arial"/>
      <family val="2"/>
    </font>
    <font>
      <sz val="11"/>
      <color rgb="FF6C757D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33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>
      <left/>
      <right style="thick">
        <color rgb="FF80808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wrapText="1"/>
    </xf>
    <xf numFmtId="0" fontId="2" fillId="4" borderId="0" xfId="0" applyFont="1" applyFill="1" applyAlignment="1">
      <alignment horizontal="left" vertical="top" wrapText="1"/>
    </xf>
    <xf numFmtId="1" fontId="9" fillId="0" borderId="2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1" fontId="0" fillId="0" borderId="0" xfId="0" applyNumberFormat="1"/>
    <xf numFmtId="164" fontId="0" fillId="0" borderId="0" xfId="1" applyNumberFormat="1" applyFont="1" applyAlignment="1">
      <alignment horizontal="right"/>
    </xf>
    <xf numFmtId="0" fontId="0" fillId="0" borderId="0" xfId="1" applyNumberFormat="1" applyFont="1" applyAlignment="1">
      <alignment horizontal="right"/>
    </xf>
    <xf numFmtId="49" fontId="8" fillId="5" borderId="2" xfId="0" applyNumberFormat="1" applyFont="1" applyFill="1" applyBorder="1" applyAlignment="1">
      <alignment vertical="center" wrapText="1"/>
    </xf>
    <xf numFmtId="49" fontId="10" fillId="5" borderId="2" xfId="0" applyNumberFormat="1" applyFont="1" applyFill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0" fillId="0" borderId="0" xfId="0" applyAlignment="1">
      <alignment horizontal="left" vertical="top" wrapText="1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 applyAlignment="1">
      <alignment wrapText="1"/>
    </xf>
    <xf numFmtId="0" fontId="13" fillId="0" borderId="0" xfId="0" applyFont="1"/>
    <xf numFmtId="0" fontId="0" fillId="0" borderId="0" xfId="0" quotePrefix="1"/>
    <xf numFmtId="0" fontId="2" fillId="7" borderId="0" xfId="0" applyFont="1" applyFill="1" applyAlignment="1">
      <alignment horizontal="left" vertical="center" wrapText="1"/>
    </xf>
    <xf numFmtId="0" fontId="14" fillId="7" borderId="0" xfId="0" applyFont="1" applyFill="1"/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7" borderId="0" xfId="0" applyFont="1" applyFill="1" applyAlignment="1">
      <alignment horizontal="left" vertical="center" wrapText="1"/>
    </xf>
    <xf numFmtId="0" fontId="14" fillId="6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8" fillId="0" borderId="0" xfId="0" applyFont="1"/>
    <xf numFmtId="0" fontId="5" fillId="6" borderId="0" xfId="0" applyFont="1" applyFill="1" applyAlignment="1">
      <alignment horizontal="left" vertical="center" wrapText="1"/>
    </xf>
    <xf numFmtId="3" fontId="0" fillId="0" borderId="0" xfId="0" applyNumberFormat="1"/>
    <xf numFmtId="2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49" fontId="8" fillId="5" borderId="2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49" fontId="10" fillId="5" borderId="2" xfId="0" applyNumberFormat="1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IOT!$B$20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IOT!$C$19:$H$19</c:f>
              <c:strCache>
                <c:ptCount val="6"/>
                <c:pt idx="0">
                  <c:v>Medidores de consumo inteligentes</c:v>
                </c:pt>
                <c:pt idx="1">
                  <c:v>Sistemas de segurança</c:v>
                </c:pt>
                <c:pt idx="2">
                  <c:v>Processo de produção</c:v>
                </c:pt>
                <c:pt idx="3">
                  <c:v>Rastreamento de produtos e logística</c:v>
                </c:pt>
                <c:pt idx="4">
                  <c:v>Monitoramento e manutenção de equipamentos</c:v>
                </c:pt>
                <c:pt idx="5">
                  <c:v>Atendimento ao cliente</c:v>
                </c:pt>
              </c:strCache>
            </c:strRef>
          </c:cat>
          <c:val>
            <c:numRef>
              <c:f>IOT!$C$20:$H$20</c:f>
              <c:numCache>
                <c:formatCode>General</c:formatCode>
                <c:ptCount val="6"/>
                <c:pt idx="0">
                  <c:v>44.332099999999997</c:v>
                </c:pt>
                <c:pt idx="1">
                  <c:v>85.216700000000003</c:v>
                </c:pt>
                <c:pt idx="2">
                  <c:v>29.426200000000001</c:v>
                </c:pt>
                <c:pt idx="3">
                  <c:v>39.3827</c:v>
                </c:pt>
                <c:pt idx="4">
                  <c:v>38.191899999999997</c:v>
                </c:pt>
                <c:pt idx="5">
                  <c:v>31.366599999999998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E-42F9-AD1E-A00FA9BEC323}"/>
            </c:ext>
          </c:extLst>
        </c:ser>
        <c:ser>
          <c:idx val="1"/>
          <c:order val="1"/>
          <c:tx>
            <c:strRef>
              <c:f>IOT!$B$21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IOT!$C$19:$H$19</c:f>
              <c:strCache>
                <c:ptCount val="6"/>
                <c:pt idx="0">
                  <c:v>Medidores de consumo inteligentes</c:v>
                </c:pt>
                <c:pt idx="1">
                  <c:v>Sistemas de segurança</c:v>
                </c:pt>
                <c:pt idx="2">
                  <c:v>Processo de produção</c:v>
                </c:pt>
                <c:pt idx="3">
                  <c:v>Rastreamento de produtos e logística</c:v>
                </c:pt>
                <c:pt idx="4">
                  <c:v>Monitoramento e manutenção de equipamentos</c:v>
                </c:pt>
                <c:pt idx="5">
                  <c:v>Atendimento ao cliente</c:v>
                </c:pt>
              </c:strCache>
            </c:strRef>
          </c:cat>
          <c:val>
            <c:numRef>
              <c:f>IOT!$C$21:$H$21</c:f>
              <c:numCache>
                <c:formatCode>General</c:formatCode>
                <c:ptCount val="6"/>
                <c:pt idx="0">
                  <c:v>46.357999999999997</c:v>
                </c:pt>
                <c:pt idx="1">
                  <c:v>84.448999999999998</c:v>
                </c:pt>
                <c:pt idx="2">
                  <c:v>27.442</c:v>
                </c:pt>
                <c:pt idx="3">
                  <c:v>38.911799999999999</c:v>
                </c:pt>
                <c:pt idx="4">
                  <c:v>37.814500000000002</c:v>
                </c:pt>
                <c:pt idx="5">
                  <c:v>33.062899999999999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FE-42F9-AD1E-A00FA9BEC323}"/>
            </c:ext>
          </c:extLst>
        </c:ser>
        <c:ser>
          <c:idx val="2"/>
          <c:order val="2"/>
          <c:tx>
            <c:strRef>
              <c:f>IOT!$B$22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IOT!$C$19:$H$19</c:f>
              <c:strCache>
                <c:ptCount val="6"/>
                <c:pt idx="0">
                  <c:v>Medidores de consumo inteligentes</c:v>
                </c:pt>
                <c:pt idx="1">
                  <c:v>Sistemas de segurança</c:v>
                </c:pt>
                <c:pt idx="2">
                  <c:v>Processo de produção</c:v>
                </c:pt>
                <c:pt idx="3">
                  <c:v>Rastreamento de produtos e logística</c:v>
                </c:pt>
                <c:pt idx="4">
                  <c:v>Monitoramento e manutenção de equipamentos</c:v>
                </c:pt>
                <c:pt idx="5">
                  <c:v>Atendimento ao cliente</c:v>
                </c:pt>
              </c:strCache>
            </c:strRef>
          </c:cat>
          <c:val>
            <c:numRef>
              <c:f>IOT!$C$22:$H$22</c:f>
              <c:numCache>
                <c:formatCode>General</c:formatCode>
                <c:ptCount val="6"/>
                <c:pt idx="0">
                  <c:v>50.225000000000001</c:v>
                </c:pt>
                <c:pt idx="1">
                  <c:v>83.874899999999997</c:v>
                </c:pt>
                <c:pt idx="2">
                  <c:v>31.5623</c:v>
                </c:pt>
                <c:pt idx="3">
                  <c:v>43.443100000000001</c:v>
                </c:pt>
                <c:pt idx="4">
                  <c:v>43.963999999999999</c:v>
                </c:pt>
                <c:pt idx="5">
                  <c:v>39.893000000000001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FE-42F9-AD1E-A00FA9BE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1995599"/>
        <c:axId val="831995119"/>
      </c:barChart>
      <c:catAx>
        <c:axId val="831995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995119"/>
        <c:crosses val="autoZero"/>
        <c:auto val="1"/>
        <c:lblAlgn val="ctr"/>
        <c:lblOffset val="100"/>
        <c:noMultiLvlLbl val="0"/>
      </c:catAx>
      <c:valAx>
        <c:axId val="83199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99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Robos!$B$3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Robos!$C$2:$I$2</c:f>
              <c:strCache>
                <c:ptCount val="7"/>
                <c:pt idx="0">
                  <c:v>Vigilância</c:v>
                </c:pt>
                <c:pt idx="1">
                  <c:v>Transporte de pessoas ou mercadorias</c:v>
                </c:pt>
                <c:pt idx="2">
                  <c:v>Limpeza ou elkiminação de resíduos</c:v>
                </c:pt>
                <c:pt idx="3">
                  <c:v>Gerenciamento de estoque</c:v>
                </c:pt>
                <c:pt idx="4">
                  <c:v>Trabalhos de montagem</c:v>
                </c:pt>
                <c:pt idx="5">
                  <c:v>Atendimento robótico ao cliente</c:v>
                </c:pt>
                <c:pt idx="6">
                  <c:v>Construção e reparos</c:v>
                </c:pt>
              </c:strCache>
            </c:strRef>
          </c:cat>
          <c:val>
            <c:numRef>
              <c:f>Robos!$C$3:$I$3</c:f>
              <c:numCache>
                <c:formatCode>General</c:formatCode>
                <c:ptCount val="7"/>
                <c:pt idx="0" formatCode="#,##0_ ;\-#,##0\ ">
                  <c:v>17</c:v>
                </c:pt>
                <c:pt idx="1">
                  <c:v>4</c:v>
                </c:pt>
                <c:pt idx="2">
                  <c:v>25</c:v>
                </c:pt>
                <c:pt idx="3">
                  <c:v>41</c:v>
                </c:pt>
                <c:pt idx="4">
                  <c:v>18</c:v>
                </c:pt>
                <c:pt idx="5">
                  <c:v>4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8-48E7-84BF-721B2845ACE1}"/>
            </c:ext>
          </c:extLst>
        </c:ser>
        <c:ser>
          <c:idx val="1"/>
          <c:order val="1"/>
          <c:tx>
            <c:strRef>
              <c:f>Robos!$B$4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Robos!$C$2:$I$2</c:f>
              <c:strCache>
                <c:ptCount val="7"/>
                <c:pt idx="0">
                  <c:v>Vigilância</c:v>
                </c:pt>
                <c:pt idx="1">
                  <c:v>Transporte de pessoas ou mercadorias</c:v>
                </c:pt>
                <c:pt idx="2">
                  <c:v>Limpeza ou elkiminação de resíduos</c:v>
                </c:pt>
                <c:pt idx="3">
                  <c:v>Gerenciamento de estoque</c:v>
                </c:pt>
                <c:pt idx="4">
                  <c:v>Trabalhos de montagem</c:v>
                </c:pt>
                <c:pt idx="5">
                  <c:v>Atendimento robótico ao cliente</c:v>
                </c:pt>
                <c:pt idx="6">
                  <c:v>Construção e reparos</c:v>
                </c:pt>
              </c:strCache>
            </c:strRef>
          </c:cat>
          <c:val>
            <c:numRef>
              <c:f>Robos!$C$4:$I$4</c:f>
              <c:numCache>
                <c:formatCode>0</c:formatCode>
                <c:ptCount val="7"/>
                <c:pt idx="0">
                  <c:v>44.73</c:v>
                </c:pt>
                <c:pt idx="1">
                  <c:v>27</c:v>
                </c:pt>
                <c:pt idx="2">
                  <c:v>24.986999999999998</c:v>
                </c:pt>
                <c:pt idx="3">
                  <c:v>40.711799999999997</c:v>
                </c:pt>
                <c:pt idx="4">
                  <c:v>28.97</c:v>
                </c:pt>
                <c:pt idx="5">
                  <c:v>2.6360000000000001</c:v>
                </c:pt>
                <c:pt idx="6">
                  <c:v>14.733700000000001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A8-48E7-84BF-721B2845ACE1}"/>
            </c:ext>
          </c:extLst>
        </c:ser>
        <c:ser>
          <c:idx val="2"/>
          <c:order val="2"/>
          <c:tx>
            <c:strRef>
              <c:f>Robos!$B$5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Robos!$C$2:$I$2</c:f>
              <c:strCache>
                <c:ptCount val="7"/>
                <c:pt idx="0">
                  <c:v>Vigilância</c:v>
                </c:pt>
                <c:pt idx="1">
                  <c:v>Transporte de pessoas ou mercadorias</c:v>
                </c:pt>
                <c:pt idx="2">
                  <c:v>Limpeza ou elkiminação de resíduos</c:v>
                </c:pt>
                <c:pt idx="3">
                  <c:v>Gerenciamento de estoque</c:v>
                </c:pt>
                <c:pt idx="4">
                  <c:v>Trabalhos de montagem</c:v>
                </c:pt>
                <c:pt idx="5">
                  <c:v>Atendimento robótico ao cliente</c:v>
                </c:pt>
                <c:pt idx="6">
                  <c:v>Construção e reparos</c:v>
                </c:pt>
              </c:strCache>
            </c:strRef>
          </c:cat>
          <c:val>
            <c:numRef>
              <c:f>Robos!$C$5:$I$5</c:f>
              <c:numCache>
                <c:formatCode>0</c:formatCode>
                <c:ptCount val="7"/>
                <c:pt idx="0">
                  <c:v>34.14</c:v>
                </c:pt>
                <c:pt idx="1">
                  <c:v>7.968</c:v>
                </c:pt>
                <c:pt idx="2">
                  <c:v>42.135800000000003</c:v>
                </c:pt>
                <c:pt idx="3">
                  <c:v>38.337000000000003</c:v>
                </c:pt>
                <c:pt idx="4">
                  <c:v>26.38</c:v>
                </c:pt>
                <c:pt idx="5">
                  <c:v>3.4398</c:v>
                </c:pt>
                <c:pt idx="6">
                  <c:v>31.327999999999999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A8-48E7-84BF-721B2845ACE1}"/>
            </c:ext>
          </c:extLst>
        </c:ser>
        <c:ser>
          <c:idx val="3"/>
          <c:order val="3"/>
          <c:tx>
            <c:strRef>
              <c:f>Robos!$B$6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Robos!$C$2:$I$2</c:f>
              <c:strCache>
                <c:ptCount val="7"/>
                <c:pt idx="0">
                  <c:v>Vigilância</c:v>
                </c:pt>
                <c:pt idx="1">
                  <c:v>Transporte de pessoas ou mercadorias</c:v>
                </c:pt>
                <c:pt idx="2">
                  <c:v>Limpeza ou elkiminação de resíduos</c:v>
                </c:pt>
                <c:pt idx="3">
                  <c:v>Gerenciamento de estoque</c:v>
                </c:pt>
                <c:pt idx="4">
                  <c:v>Trabalhos de montagem</c:v>
                </c:pt>
                <c:pt idx="5">
                  <c:v>Atendimento robótico ao cliente</c:v>
                </c:pt>
                <c:pt idx="6">
                  <c:v>Construção e reparos</c:v>
                </c:pt>
              </c:strCache>
            </c:strRef>
          </c:cat>
          <c:val>
            <c:numRef>
              <c:f>Robos!$C$6:$I$6</c:f>
              <c:numCache>
                <c:formatCode>0</c:formatCode>
                <c:ptCount val="7"/>
                <c:pt idx="0">
                  <c:v>28.527999999999999</c:v>
                </c:pt>
                <c:pt idx="1">
                  <c:v>16.68</c:v>
                </c:pt>
                <c:pt idx="2">
                  <c:v>48.41</c:v>
                </c:pt>
                <c:pt idx="3">
                  <c:v>50.095300000000002</c:v>
                </c:pt>
                <c:pt idx="4">
                  <c:v>39.06</c:v>
                </c:pt>
                <c:pt idx="5">
                  <c:v>5.7103999999999999</c:v>
                </c:pt>
                <c:pt idx="6">
                  <c:v>30.15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A8-48E7-84BF-721B2845A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3169087"/>
        <c:axId val="1323169567"/>
      </c:barChart>
      <c:catAx>
        <c:axId val="132316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3169567"/>
        <c:crosses val="autoZero"/>
        <c:auto val="1"/>
        <c:lblAlgn val="ctr"/>
        <c:lblOffset val="100"/>
        <c:noMultiLvlLbl val="0"/>
      </c:catAx>
      <c:valAx>
        <c:axId val="132316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316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'IA tipo'!$B$14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'IA tipo'!$C$13:$I$13</c:f>
              <c:strCache>
                <c:ptCount val="7"/>
                <c:pt idx="0">
                  <c:v>Análise de textos</c:v>
                </c:pt>
                <c:pt idx="1">
                  <c:v>Reconhecimento de fala</c:v>
                </c:pt>
                <c:pt idx="2">
                  <c:v>Geração de linguagem natural</c:v>
                </c:pt>
                <c:pt idx="3">
                  <c:v>Processamento de imagens</c:v>
                </c:pt>
                <c:pt idx="4">
                  <c:v>Machine learning</c:v>
                </c:pt>
                <c:pt idx="5">
                  <c:v>Automatização de processos</c:v>
                </c:pt>
                <c:pt idx="6">
                  <c:v>Máquinas e veículos autônomos</c:v>
                </c:pt>
              </c:strCache>
            </c:strRef>
          </c:cat>
          <c:val>
            <c:numRef>
              <c:f>'IA tipo'!$C$14:$I$14</c:f>
              <c:numCache>
                <c:formatCode>General</c:formatCode>
                <c:ptCount val="7"/>
                <c:pt idx="0">
                  <c:v>19.553100000000001</c:v>
                </c:pt>
                <c:pt idx="1">
                  <c:v>12.6584</c:v>
                </c:pt>
                <c:pt idx="2">
                  <c:v>14.8855</c:v>
                </c:pt>
                <c:pt idx="3">
                  <c:v>32.896599999999999</c:v>
                </c:pt>
                <c:pt idx="4">
                  <c:v>19.199000000000002</c:v>
                </c:pt>
                <c:pt idx="5">
                  <c:v>73.354500000000002</c:v>
                </c:pt>
                <c:pt idx="6">
                  <c:v>10.4095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6-4887-95A6-A86801F94390}"/>
            </c:ext>
          </c:extLst>
        </c:ser>
        <c:ser>
          <c:idx val="1"/>
          <c:order val="1"/>
          <c:tx>
            <c:strRef>
              <c:f>'IA tipo'!$B$15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'IA tipo'!$C$13:$I$13</c:f>
              <c:strCache>
                <c:ptCount val="7"/>
                <c:pt idx="0">
                  <c:v>Análise de textos</c:v>
                </c:pt>
                <c:pt idx="1">
                  <c:v>Reconhecimento de fala</c:v>
                </c:pt>
                <c:pt idx="2">
                  <c:v>Geração de linguagem natural</c:v>
                </c:pt>
                <c:pt idx="3">
                  <c:v>Processamento de imagens</c:v>
                </c:pt>
                <c:pt idx="4">
                  <c:v>Machine learning</c:v>
                </c:pt>
                <c:pt idx="5">
                  <c:v>Automatização de processos</c:v>
                </c:pt>
                <c:pt idx="6">
                  <c:v>Máquinas e veículos autônomos</c:v>
                </c:pt>
              </c:strCache>
            </c:strRef>
          </c:cat>
          <c:val>
            <c:numRef>
              <c:f>'IA tipo'!$C$15:$I$15</c:f>
              <c:numCache>
                <c:formatCode>General</c:formatCode>
                <c:ptCount val="7"/>
                <c:pt idx="0">
                  <c:v>14.7464</c:v>
                </c:pt>
                <c:pt idx="1">
                  <c:v>11.1706</c:v>
                </c:pt>
                <c:pt idx="2">
                  <c:v>13.058</c:v>
                </c:pt>
                <c:pt idx="3">
                  <c:v>32.362200000000001</c:v>
                </c:pt>
                <c:pt idx="4">
                  <c:v>15.651999999999999</c:v>
                </c:pt>
                <c:pt idx="5">
                  <c:v>66.018000000000001</c:v>
                </c:pt>
                <c:pt idx="6">
                  <c:v>6.2460000000000004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6-4887-95A6-A86801F94390}"/>
            </c:ext>
          </c:extLst>
        </c:ser>
        <c:ser>
          <c:idx val="2"/>
          <c:order val="2"/>
          <c:tx>
            <c:strRef>
              <c:f>'IA tipo'!$B$16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'IA tipo'!$C$13:$I$13</c:f>
              <c:strCache>
                <c:ptCount val="7"/>
                <c:pt idx="0">
                  <c:v>Análise de textos</c:v>
                </c:pt>
                <c:pt idx="1">
                  <c:v>Reconhecimento de fala</c:v>
                </c:pt>
                <c:pt idx="2">
                  <c:v>Geração de linguagem natural</c:v>
                </c:pt>
                <c:pt idx="3">
                  <c:v>Processamento de imagens</c:v>
                </c:pt>
                <c:pt idx="4">
                  <c:v>Machine learning</c:v>
                </c:pt>
                <c:pt idx="5">
                  <c:v>Automatização de processos</c:v>
                </c:pt>
                <c:pt idx="6">
                  <c:v>Máquinas e veículos autônomos</c:v>
                </c:pt>
              </c:strCache>
            </c:strRef>
          </c:cat>
          <c:val>
            <c:numRef>
              <c:f>'IA tipo'!$C$16:$I$16</c:f>
              <c:numCache>
                <c:formatCode>General</c:formatCode>
                <c:ptCount val="7"/>
                <c:pt idx="0">
                  <c:v>21.823799999999999</c:v>
                </c:pt>
                <c:pt idx="1">
                  <c:v>15.626899999999999</c:v>
                </c:pt>
                <c:pt idx="2">
                  <c:v>19.805700000000002</c:v>
                </c:pt>
                <c:pt idx="3">
                  <c:v>32.731200000000001</c:v>
                </c:pt>
                <c:pt idx="4">
                  <c:v>20.209599999999998</c:v>
                </c:pt>
                <c:pt idx="5">
                  <c:v>62.810400000000001</c:v>
                </c:pt>
                <c:pt idx="6">
                  <c:v>9.3269000000000002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6-4887-95A6-A86801F94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41887"/>
        <c:axId val="934043327"/>
      </c:barChart>
      <c:catAx>
        <c:axId val="93404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4043327"/>
        <c:crosses val="autoZero"/>
        <c:auto val="1"/>
        <c:lblAlgn val="ctr"/>
        <c:lblOffset val="100"/>
        <c:noMultiLvlLbl val="0"/>
      </c:catAx>
      <c:valAx>
        <c:axId val="93404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404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'IA tipo'!$B$14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'IA tipo'!$C$13:$I$13</c:f>
              <c:strCache>
                <c:ptCount val="7"/>
                <c:pt idx="0">
                  <c:v>Análise de textos</c:v>
                </c:pt>
                <c:pt idx="1">
                  <c:v>Reconhecimento de fala</c:v>
                </c:pt>
                <c:pt idx="2">
                  <c:v>Geração de linguagem natural</c:v>
                </c:pt>
                <c:pt idx="3">
                  <c:v>Processamento de imagens</c:v>
                </c:pt>
                <c:pt idx="4">
                  <c:v>Machine learning</c:v>
                </c:pt>
                <c:pt idx="5">
                  <c:v>Automatização de processos</c:v>
                </c:pt>
                <c:pt idx="6">
                  <c:v>Máquinas e veículos autônomos</c:v>
                </c:pt>
              </c:strCache>
            </c:strRef>
          </c:cat>
          <c:val>
            <c:numRef>
              <c:f>'IA tipo'!$C$14:$I$14</c:f>
              <c:numCache>
                <c:formatCode>General</c:formatCode>
                <c:ptCount val="7"/>
                <c:pt idx="0">
                  <c:v>19.553100000000001</c:v>
                </c:pt>
                <c:pt idx="1">
                  <c:v>12.6584</c:v>
                </c:pt>
                <c:pt idx="2">
                  <c:v>14.8855</c:v>
                </c:pt>
                <c:pt idx="3">
                  <c:v>32.896599999999999</c:v>
                </c:pt>
                <c:pt idx="4">
                  <c:v>19.199000000000002</c:v>
                </c:pt>
                <c:pt idx="5">
                  <c:v>73.354500000000002</c:v>
                </c:pt>
                <c:pt idx="6">
                  <c:v>10.4095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5-45A1-842D-CB94DE45084E}"/>
            </c:ext>
          </c:extLst>
        </c:ser>
        <c:ser>
          <c:idx val="1"/>
          <c:order val="1"/>
          <c:tx>
            <c:strRef>
              <c:f>'IA tipo'!$B$15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'IA tipo'!$C$13:$I$13</c:f>
              <c:strCache>
                <c:ptCount val="7"/>
                <c:pt idx="0">
                  <c:v>Análise de textos</c:v>
                </c:pt>
                <c:pt idx="1">
                  <c:v>Reconhecimento de fala</c:v>
                </c:pt>
                <c:pt idx="2">
                  <c:v>Geração de linguagem natural</c:v>
                </c:pt>
                <c:pt idx="3">
                  <c:v>Processamento de imagens</c:v>
                </c:pt>
                <c:pt idx="4">
                  <c:v>Machine learning</c:v>
                </c:pt>
                <c:pt idx="5">
                  <c:v>Automatização de processos</c:v>
                </c:pt>
                <c:pt idx="6">
                  <c:v>Máquinas e veículos autônomos</c:v>
                </c:pt>
              </c:strCache>
            </c:strRef>
          </c:cat>
          <c:val>
            <c:numRef>
              <c:f>'IA tipo'!$C$15:$I$15</c:f>
              <c:numCache>
                <c:formatCode>General</c:formatCode>
                <c:ptCount val="7"/>
                <c:pt idx="0">
                  <c:v>14.7464</c:v>
                </c:pt>
                <c:pt idx="1">
                  <c:v>11.1706</c:v>
                </c:pt>
                <c:pt idx="2">
                  <c:v>13.058</c:v>
                </c:pt>
                <c:pt idx="3">
                  <c:v>32.362200000000001</c:v>
                </c:pt>
                <c:pt idx="4">
                  <c:v>15.651999999999999</c:v>
                </c:pt>
                <c:pt idx="5">
                  <c:v>66.018000000000001</c:v>
                </c:pt>
                <c:pt idx="6">
                  <c:v>6.2460000000000004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D5-45A1-842D-CB94DE45084E}"/>
            </c:ext>
          </c:extLst>
        </c:ser>
        <c:ser>
          <c:idx val="2"/>
          <c:order val="2"/>
          <c:tx>
            <c:strRef>
              <c:f>'IA tipo'!$B$16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'IA tipo'!$C$13:$I$13</c:f>
              <c:strCache>
                <c:ptCount val="7"/>
                <c:pt idx="0">
                  <c:v>Análise de textos</c:v>
                </c:pt>
                <c:pt idx="1">
                  <c:v>Reconhecimento de fala</c:v>
                </c:pt>
                <c:pt idx="2">
                  <c:v>Geração de linguagem natural</c:v>
                </c:pt>
                <c:pt idx="3">
                  <c:v>Processamento de imagens</c:v>
                </c:pt>
                <c:pt idx="4">
                  <c:v>Machine learning</c:v>
                </c:pt>
                <c:pt idx="5">
                  <c:v>Automatização de processos</c:v>
                </c:pt>
                <c:pt idx="6">
                  <c:v>Máquinas e veículos autônomos</c:v>
                </c:pt>
              </c:strCache>
            </c:strRef>
          </c:cat>
          <c:val>
            <c:numRef>
              <c:f>'IA tipo'!$C$16:$I$16</c:f>
              <c:numCache>
                <c:formatCode>General</c:formatCode>
                <c:ptCount val="7"/>
                <c:pt idx="0">
                  <c:v>21.823799999999999</c:v>
                </c:pt>
                <c:pt idx="1">
                  <c:v>15.626899999999999</c:v>
                </c:pt>
                <c:pt idx="2">
                  <c:v>19.805700000000002</c:v>
                </c:pt>
                <c:pt idx="3">
                  <c:v>32.731200000000001</c:v>
                </c:pt>
                <c:pt idx="4">
                  <c:v>20.209599999999998</c:v>
                </c:pt>
                <c:pt idx="5">
                  <c:v>62.810400000000001</c:v>
                </c:pt>
                <c:pt idx="6">
                  <c:v>9.3269000000000002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D5-45A1-842D-CB94DE450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0397263"/>
        <c:axId val="930397743"/>
      </c:barChart>
      <c:catAx>
        <c:axId val="93039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0397743"/>
        <c:crosses val="autoZero"/>
        <c:auto val="1"/>
        <c:lblAlgn val="ctr"/>
        <c:lblOffset val="100"/>
        <c:noMultiLvlLbl val="0"/>
      </c:catAx>
      <c:valAx>
        <c:axId val="93039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039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'IA tipo'!$B$14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'IA tipo'!$C$13:$I$13</c:f>
              <c:strCache>
                <c:ptCount val="7"/>
                <c:pt idx="0">
                  <c:v>Análise de textos</c:v>
                </c:pt>
                <c:pt idx="1">
                  <c:v>Reconhecimento de fala</c:v>
                </c:pt>
                <c:pt idx="2">
                  <c:v>Geração de linguagem natural</c:v>
                </c:pt>
                <c:pt idx="3">
                  <c:v>Processamento de imagens</c:v>
                </c:pt>
                <c:pt idx="4">
                  <c:v>Machine learning</c:v>
                </c:pt>
                <c:pt idx="5">
                  <c:v>Automatização de processos</c:v>
                </c:pt>
                <c:pt idx="6">
                  <c:v>Máquinas e veículos autônomos</c:v>
                </c:pt>
              </c:strCache>
            </c:strRef>
          </c:cat>
          <c:val>
            <c:numRef>
              <c:f>'IA tipo'!$C$14:$I$14</c:f>
              <c:numCache>
                <c:formatCode>General</c:formatCode>
                <c:ptCount val="7"/>
                <c:pt idx="0">
                  <c:v>19.553100000000001</c:v>
                </c:pt>
                <c:pt idx="1">
                  <c:v>12.6584</c:v>
                </c:pt>
                <c:pt idx="2">
                  <c:v>14.8855</c:v>
                </c:pt>
                <c:pt idx="3">
                  <c:v>32.896599999999999</c:v>
                </c:pt>
                <c:pt idx="4">
                  <c:v>19.199000000000002</c:v>
                </c:pt>
                <c:pt idx="5">
                  <c:v>73.354500000000002</c:v>
                </c:pt>
                <c:pt idx="6">
                  <c:v>10.4095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2-4A6E-8A2D-2928ACD2DF98}"/>
            </c:ext>
          </c:extLst>
        </c:ser>
        <c:ser>
          <c:idx val="1"/>
          <c:order val="1"/>
          <c:tx>
            <c:strRef>
              <c:f>'IA tipo'!$B$15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'IA tipo'!$C$13:$I$13</c:f>
              <c:strCache>
                <c:ptCount val="7"/>
                <c:pt idx="0">
                  <c:v>Análise de textos</c:v>
                </c:pt>
                <c:pt idx="1">
                  <c:v>Reconhecimento de fala</c:v>
                </c:pt>
                <c:pt idx="2">
                  <c:v>Geração de linguagem natural</c:v>
                </c:pt>
                <c:pt idx="3">
                  <c:v>Processamento de imagens</c:v>
                </c:pt>
                <c:pt idx="4">
                  <c:v>Machine learning</c:v>
                </c:pt>
                <c:pt idx="5">
                  <c:v>Automatização de processos</c:v>
                </c:pt>
                <c:pt idx="6">
                  <c:v>Máquinas e veículos autônomos</c:v>
                </c:pt>
              </c:strCache>
            </c:strRef>
          </c:cat>
          <c:val>
            <c:numRef>
              <c:f>'IA tipo'!$C$15:$I$15</c:f>
              <c:numCache>
                <c:formatCode>General</c:formatCode>
                <c:ptCount val="7"/>
                <c:pt idx="0">
                  <c:v>14.7464</c:v>
                </c:pt>
                <c:pt idx="1">
                  <c:v>11.1706</c:v>
                </c:pt>
                <c:pt idx="2">
                  <c:v>13.058</c:v>
                </c:pt>
                <c:pt idx="3">
                  <c:v>32.362200000000001</c:v>
                </c:pt>
                <c:pt idx="4">
                  <c:v>15.651999999999999</c:v>
                </c:pt>
                <c:pt idx="5">
                  <c:v>66.018000000000001</c:v>
                </c:pt>
                <c:pt idx="6">
                  <c:v>6.2460000000000004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2-4A6E-8A2D-2928ACD2DF98}"/>
            </c:ext>
          </c:extLst>
        </c:ser>
        <c:ser>
          <c:idx val="2"/>
          <c:order val="2"/>
          <c:tx>
            <c:strRef>
              <c:f>'IA tipo'!$B$16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'IA tipo'!$C$13:$I$13</c:f>
              <c:strCache>
                <c:ptCount val="7"/>
                <c:pt idx="0">
                  <c:v>Análise de textos</c:v>
                </c:pt>
                <c:pt idx="1">
                  <c:v>Reconhecimento de fala</c:v>
                </c:pt>
                <c:pt idx="2">
                  <c:v>Geração de linguagem natural</c:v>
                </c:pt>
                <c:pt idx="3">
                  <c:v>Processamento de imagens</c:v>
                </c:pt>
                <c:pt idx="4">
                  <c:v>Machine learning</c:v>
                </c:pt>
                <c:pt idx="5">
                  <c:v>Automatização de processos</c:v>
                </c:pt>
                <c:pt idx="6">
                  <c:v>Máquinas e veículos autônomos</c:v>
                </c:pt>
              </c:strCache>
            </c:strRef>
          </c:cat>
          <c:val>
            <c:numRef>
              <c:f>'IA tipo'!$C$16:$I$16</c:f>
              <c:numCache>
                <c:formatCode>General</c:formatCode>
                <c:ptCount val="7"/>
                <c:pt idx="0">
                  <c:v>21.823799999999999</c:v>
                </c:pt>
                <c:pt idx="1">
                  <c:v>15.626899999999999</c:v>
                </c:pt>
                <c:pt idx="2">
                  <c:v>19.805700000000002</c:v>
                </c:pt>
                <c:pt idx="3">
                  <c:v>32.731200000000001</c:v>
                </c:pt>
                <c:pt idx="4">
                  <c:v>20.209599999999998</c:v>
                </c:pt>
                <c:pt idx="5">
                  <c:v>62.810400000000001</c:v>
                </c:pt>
                <c:pt idx="6">
                  <c:v>9.3269000000000002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E2-4A6E-8A2D-2928ACD2D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2096879"/>
        <c:axId val="832098319"/>
      </c:barChart>
      <c:catAx>
        <c:axId val="832096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2098319"/>
        <c:crosses val="autoZero"/>
        <c:auto val="1"/>
        <c:lblAlgn val="ctr"/>
        <c:lblOffset val="100"/>
        <c:noMultiLvlLbl val="0"/>
      </c:catAx>
      <c:valAx>
        <c:axId val="83209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209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'IA aplicação'!$B$15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'IA aplicação'!$C$14:$I$14</c:f>
              <c:strCache>
                <c:ptCount val="7"/>
                <c:pt idx="0">
                  <c:v>Marketing ou vendas</c:v>
                </c:pt>
                <c:pt idx="1">
                  <c:v>Processos de produção</c:v>
                </c:pt>
                <c:pt idx="2">
                  <c:v>Porcessos administrativos</c:v>
                </c:pt>
                <c:pt idx="3">
                  <c:v>Gestão de empresas</c:v>
                </c:pt>
                <c:pt idx="4">
                  <c:v>Logística</c:v>
                </c:pt>
                <c:pt idx="5">
                  <c:v>Segurança digital</c:v>
                </c:pt>
                <c:pt idx="6">
                  <c:v>Recursos humanos</c:v>
                </c:pt>
              </c:strCache>
            </c:strRef>
          </c:cat>
          <c:val>
            <c:numRef>
              <c:f>'IA aplicação'!$C$15:$I$15</c:f>
              <c:numCache>
                <c:formatCode>General</c:formatCode>
                <c:ptCount val="7"/>
                <c:pt idx="0">
                  <c:v>40.991999999999997</c:v>
                </c:pt>
                <c:pt idx="1">
                  <c:v>29.309899999999999</c:v>
                </c:pt>
                <c:pt idx="2">
                  <c:v>37.712000000000003</c:v>
                </c:pt>
                <c:pt idx="3">
                  <c:v>39.208599999999997</c:v>
                </c:pt>
                <c:pt idx="4">
                  <c:v>33.3142</c:v>
                </c:pt>
                <c:pt idx="5">
                  <c:v>46.938600000000001</c:v>
                </c:pt>
                <c:pt idx="6">
                  <c:v>32.044400000000003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D-4F7C-94D7-2A8136C8F126}"/>
            </c:ext>
          </c:extLst>
        </c:ser>
        <c:ser>
          <c:idx val="1"/>
          <c:order val="1"/>
          <c:tx>
            <c:strRef>
              <c:f>'IA aplicação'!$B$16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'IA aplicação'!$C$14:$I$14</c:f>
              <c:strCache>
                <c:ptCount val="7"/>
                <c:pt idx="0">
                  <c:v>Marketing ou vendas</c:v>
                </c:pt>
                <c:pt idx="1">
                  <c:v>Processos de produção</c:v>
                </c:pt>
                <c:pt idx="2">
                  <c:v>Porcessos administrativos</c:v>
                </c:pt>
                <c:pt idx="3">
                  <c:v>Gestão de empresas</c:v>
                </c:pt>
                <c:pt idx="4">
                  <c:v>Logística</c:v>
                </c:pt>
                <c:pt idx="5">
                  <c:v>Segurança digital</c:v>
                </c:pt>
                <c:pt idx="6">
                  <c:v>Recursos humanos</c:v>
                </c:pt>
              </c:strCache>
            </c:strRef>
          </c:cat>
          <c:val>
            <c:numRef>
              <c:f>'IA aplicação'!$C$16:$I$16</c:f>
              <c:numCache>
                <c:formatCode>General</c:formatCode>
                <c:ptCount val="7"/>
                <c:pt idx="0">
                  <c:v>47.075000000000003</c:v>
                </c:pt>
                <c:pt idx="1">
                  <c:v>31.736999999999998</c:v>
                </c:pt>
                <c:pt idx="2">
                  <c:v>36.712000000000003</c:v>
                </c:pt>
                <c:pt idx="3">
                  <c:v>38.590000000000003</c:v>
                </c:pt>
                <c:pt idx="4">
                  <c:v>32.371000000000002</c:v>
                </c:pt>
                <c:pt idx="5">
                  <c:v>43.23</c:v>
                </c:pt>
                <c:pt idx="6">
                  <c:v>34.42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D-4F7C-94D7-2A8136C8F126}"/>
            </c:ext>
          </c:extLst>
        </c:ser>
        <c:ser>
          <c:idx val="2"/>
          <c:order val="2"/>
          <c:tx>
            <c:strRef>
              <c:f>'IA aplicação'!$B$17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'IA aplicação'!$C$14:$I$14</c:f>
              <c:strCache>
                <c:ptCount val="7"/>
                <c:pt idx="0">
                  <c:v>Marketing ou vendas</c:v>
                </c:pt>
                <c:pt idx="1">
                  <c:v>Processos de produção</c:v>
                </c:pt>
                <c:pt idx="2">
                  <c:v>Porcessos administrativos</c:v>
                </c:pt>
                <c:pt idx="3">
                  <c:v>Gestão de empresas</c:v>
                </c:pt>
                <c:pt idx="4">
                  <c:v>Logística</c:v>
                </c:pt>
                <c:pt idx="5">
                  <c:v>Segurança digital</c:v>
                </c:pt>
                <c:pt idx="6">
                  <c:v>Recursos humanos</c:v>
                </c:pt>
              </c:strCache>
            </c:strRef>
          </c:cat>
          <c:val>
            <c:numRef>
              <c:f>'IA aplicação'!$C$17:$I$17</c:f>
              <c:numCache>
                <c:formatCode>General</c:formatCode>
                <c:ptCount val="7"/>
                <c:pt idx="0">
                  <c:v>36.500900000000001</c:v>
                </c:pt>
                <c:pt idx="1">
                  <c:v>24.133099999999999</c:v>
                </c:pt>
                <c:pt idx="2">
                  <c:v>33.315199999999997</c:v>
                </c:pt>
                <c:pt idx="3">
                  <c:v>34.617699999999999</c:v>
                </c:pt>
                <c:pt idx="4">
                  <c:v>23.949400000000001</c:v>
                </c:pt>
                <c:pt idx="5">
                  <c:v>35.678600000000003</c:v>
                </c:pt>
                <c:pt idx="6">
                  <c:v>27.588999999999999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BD-4F7C-94D7-2A8136C8F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534367"/>
        <c:axId val="985200911"/>
      </c:barChart>
      <c:catAx>
        <c:axId val="78253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5200911"/>
        <c:crosses val="autoZero"/>
        <c:auto val="1"/>
        <c:lblAlgn val="ctr"/>
        <c:lblOffset val="100"/>
        <c:noMultiLvlLbl val="0"/>
      </c:catAx>
      <c:valAx>
        <c:axId val="98520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25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'IA aplicação'!$B$15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'IA aplicação'!$C$14:$I$14</c:f>
              <c:strCache>
                <c:ptCount val="7"/>
                <c:pt idx="0">
                  <c:v>Marketing ou vendas</c:v>
                </c:pt>
                <c:pt idx="1">
                  <c:v>Processos de produção</c:v>
                </c:pt>
                <c:pt idx="2">
                  <c:v>Porcessos administrativos</c:v>
                </c:pt>
                <c:pt idx="3">
                  <c:v>Gestão de empresas</c:v>
                </c:pt>
                <c:pt idx="4">
                  <c:v>Logística</c:v>
                </c:pt>
                <c:pt idx="5">
                  <c:v>Segurança digital</c:v>
                </c:pt>
                <c:pt idx="6">
                  <c:v>Recursos humanos</c:v>
                </c:pt>
              </c:strCache>
            </c:strRef>
          </c:cat>
          <c:val>
            <c:numRef>
              <c:f>'IA aplicação'!$C$15:$I$15</c:f>
              <c:numCache>
                <c:formatCode>General</c:formatCode>
                <c:ptCount val="7"/>
                <c:pt idx="0">
                  <c:v>40.991999999999997</c:v>
                </c:pt>
                <c:pt idx="1">
                  <c:v>29.309899999999999</c:v>
                </c:pt>
                <c:pt idx="2">
                  <c:v>37.712000000000003</c:v>
                </c:pt>
                <c:pt idx="3">
                  <c:v>39.208599999999997</c:v>
                </c:pt>
                <c:pt idx="4">
                  <c:v>33.3142</c:v>
                </c:pt>
                <c:pt idx="5">
                  <c:v>46.938600000000001</c:v>
                </c:pt>
                <c:pt idx="6">
                  <c:v>32.044400000000003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A-42F6-9877-4883A9181D48}"/>
            </c:ext>
          </c:extLst>
        </c:ser>
        <c:ser>
          <c:idx val="1"/>
          <c:order val="1"/>
          <c:tx>
            <c:strRef>
              <c:f>'IA aplicação'!$B$16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'IA aplicação'!$C$14:$I$14</c:f>
              <c:strCache>
                <c:ptCount val="7"/>
                <c:pt idx="0">
                  <c:v>Marketing ou vendas</c:v>
                </c:pt>
                <c:pt idx="1">
                  <c:v>Processos de produção</c:v>
                </c:pt>
                <c:pt idx="2">
                  <c:v>Porcessos administrativos</c:v>
                </c:pt>
                <c:pt idx="3">
                  <c:v>Gestão de empresas</c:v>
                </c:pt>
                <c:pt idx="4">
                  <c:v>Logística</c:v>
                </c:pt>
                <c:pt idx="5">
                  <c:v>Segurança digital</c:v>
                </c:pt>
                <c:pt idx="6">
                  <c:v>Recursos humanos</c:v>
                </c:pt>
              </c:strCache>
            </c:strRef>
          </c:cat>
          <c:val>
            <c:numRef>
              <c:f>'IA aplicação'!$C$16:$I$16</c:f>
              <c:numCache>
                <c:formatCode>General</c:formatCode>
                <c:ptCount val="7"/>
                <c:pt idx="0">
                  <c:v>47.075000000000003</c:v>
                </c:pt>
                <c:pt idx="1">
                  <c:v>31.736999999999998</c:v>
                </c:pt>
                <c:pt idx="2">
                  <c:v>36.712000000000003</c:v>
                </c:pt>
                <c:pt idx="3">
                  <c:v>38.590000000000003</c:v>
                </c:pt>
                <c:pt idx="4">
                  <c:v>32.371000000000002</c:v>
                </c:pt>
                <c:pt idx="5">
                  <c:v>43.23</c:v>
                </c:pt>
                <c:pt idx="6">
                  <c:v>34.42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A-42F6-9877-4883A9181D48}"/>
            </c:ext>
          </c:extLst>
        </c:ser>
        <c:ser>
          <c:idx val="2"/>
          <c:order val="2"/>
          <c:tx>
            <c:strRef>
              <c:f>'IA aplicação'!$B$17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'IA aplicação'!$C$14:$I$14</c:f>
              <c:strCache>
                <c:ptCount val="7"/>
                <c:pt idx="0">
                  <c:v>Marketing ou vendas</c:v>
                </c:pt>
                <c:pt idx="1">
                  <c:v>Processos de produção</c:v>
                </c:pt>
                <c:pt idx="2">
                  <c:v>Porcessos administrativos</c:v>
                </c:pt>
                <c:pt idx="3">
                  <c:v>Gestão de empresas</c:v>
                </c:pt>
                <c:pt idx="4">
                  <c:v>Logística</c:v>
                </c:pt>
                <c:pt idx="5">
                  <c:v>Segurança digital</c:v>
                </c:pt>
                <c:pt idx="6">
                  <c:v>Recursos humanos</c:v>
                </c:pt>
              </c:strCache>
            </c:strRef>
          </c:cat>
          <c:val>
            <c:numRef>
              <c:f>'IA aplicação'!$C$17:$I$17</c:f>
              <c:numCache>
                <c:formatCode>General</c:formatCode>
                <c:ptCount val="7"/>
                <c:pt idx="0">
                  <c:v>36.500900000000001</c:v>
                </c:pt>
                <c:pt idx="1">
                  <c:v>24.133099999999999</c:v>
                </c:pt>
                <c:pt idx="2">
                  <c:v>33.315199999999997</c:v>
                </c:pt>
                <c:pt idx="3">
                  <c:v>34.617699999999999</c:v>
                </c:pt>
                <c:pt idx="4">
                  <c:v>23.949400000000001</c:v>
                </c:pt>
                <c:pt idx="5">
                  <c:v>35.678600000000003</c:v>
                </c:pt>
                <c:pt idx="6">
                  <c:v>27.588999999999999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7A-42F6-9877-4883A9181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0456751"/>
        <c:axId val="1000454351"/>
      </c:barChart>
      <c:catAx>
        <c:axId val="100045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0454351"/>
        <c:crosses val="autoZero"/>
        <c:auto val="1"/>
        <c:lblAlgn val="ctr"/>
        <c:lblOffset val="100"/>
        <c:noMultiLvlLbl val="0"/>
      </c:catAx>
      <c:valAx>
        <c:axId val="100045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045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1409700</xdr:colOff>
      <xdr:row>23</xdr:row>
      <xdr:rowOff>170497</xdr:rowOff>
    </xdr:from>
    <xdr:to>
      <xdr:col>5</xdr:col>
      <xdr:colOff>400050</xdr:colOff>
      <xdr:row>46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E187DC-CCF9-8602-0C4B-F72C0A620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1110615</xdr:colOff>
      <xdr:row>22</xdr:row>
      <xdr:rowOff>37147</xdr:rowOff>
    </xdr:from>
    <xdr:to>
      <xdr:col>7</xdr:col>
      <xdr:colOff>462915</xdr:colOff>
      <xdr:row>44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6A9B1D-DE78-9BEF-D23A-3D5D3FC0C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19</xdr:row>
      <xdr:rowOff>79057</xdr:rowOff>
    </xdr:from>
    <xdr:to>
      <xdr:col>4</xdr:col>
      <xdr:colOff>876300</xdr:colOff>
      <xdr:row>39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E3FE5B-CADF-A745-FA42-2C011B36D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1015365</xdr:colOff>
      <xdr:row>19</xdr:row>
      <xdr:rowOff>58102</xdr:rowOff>
    </xdr:from>
    <xdr:to>
      <xdr:col>7</xdr:col>
      <xdr:colOff>0</xdr:colOff>
      <xdr:row>39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CABC5C2-5ED3-47C8-9373-4FF5EDAAC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167639</xdr:colOff>
      <xdr:row>19</xdr:row>
      <xdr:rowOff>77151</xdr:rowOff>
    </xdr:from>
    <xdr:to>
      <xdr:col>12</xdr:col>
      <xdr:colOff>447674</xdr:colOff>
      <xdr:row>39</xdr:row>
      <xdr:rowOff>180974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54D5625-E4B4-AD52-309A-9B72856E1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18</xdr:row>
      <xdr:rowOff>20002</xdr:rowOff>
    </xdr:from>
    <xdr:to>
      <xdr:col>4</xdr:col>
      <xdr:colOff>1615440</xdr:colOff>
      <xdr:row>38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50D1AE-14BE-F56B-B220-77DC1788D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18</xdr:row>
      <xdr:rowOff>37147</xdr:rowOff>
    </xdr:from>
    <xdr:to>
      <xdr:col>9</xdr:col>
      <xdr:colOff>57150</xdr:colOff>
      <xdr:row>38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8A880E-F8C5-BD8E-1FEB-132000E05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5B2A-63CC-45FC-B2E7-CE4A9AE78A38}">
  <dimension ref="A1:J49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149.6640625" style="1" customWidth="1"/>
    <col min="2" max="2" width="7" style="2" customWidth="1"/>
    <col min="3" max="8" width="7" style="3" customWidth="1"/>
    <col min="9" max="9" width="18.6640625" style="11" customWidth="1"/>
    <col min="10" max="10" width="31.44140625" customWidth="1"/>
  </cols>
  <sheetData>
    <row r="1" spans="1:10" x14ac:dyDescent="0.3">
      <c r="A1" s="53" t="s">
        <v>0</v>
      </c>
      <c r="B1" s="53" t="s">
        <v>23</v>
      </c>
      <c r="C1" s="53"/>
      <c r="D1" s="53"/>
      <c r="E1" s="53"/>
      <c r="F1" s="53"/>
      <c r="G1" s="53"/>
      <c r="H1" s="53"/>
      <c r="I1" s="55" t="s">
        <v>18</v>
      </c>
      <c r="J1" s="57" t="s">
        <v>3</v>
      </c>
    </row>
    <row r="2" spans="1:10" x14ac:dyDescent="0.3">
      <c r="A2" s="54"/>
      <c r="B2" s="12">
        <v>2014</v>
      </c>
      <c r="C2" s="13">
        <v>2015</v>
      </c>
      <c r="D2" s="13">
        <v>2017</v>
      </c>
      <c r="E2" s="13">
        <v>2019</v>
      </c>
      <c r="F2" s="13">
        <v>2021</v>
      </c>
      <c r="G2" s="13">
        <v>2023</v>
      </c>
      <c r="H2" s="13">
        <v>2024</v>
      </c>
      <c r="I2" s="56"/>
      <c r="J2" s="58"/>
    </row>
    <row r="3" spans="1:10" x14ac:dyDescent="0.3">
      <c r="A3" s="44" t="s">
        <v>117</v>
      </c>
      <c r="I3" s="41"/>
      <c r="J3" s="42"/>
    </row>
    <row r="4" spans="1:10" x14ac:dyDescent="0.3">
      <c r="A4" s="14" t="s">
        <v>1</v>
      </c>
      <c r="B4" s="4"/>
      <c r="C4" s="5"/>
      <c r="D4" s="5"/>
      <c r="E4" s="5"/>
      <c r="F4" s="5"/>
      <c r="G4" s="5"/>
      <c r="H4" s="5"/>
      <c r="I4" s="11" t="s">
        <v>19</v>
      </c>
      <c r="J4" t="s">
        <v>22</v>
      </c>
    </row>
    <row r="5" spans="1:10" x14ac:dyDescent="0.3">
      <c r="A5" s="14" t="s">
        <v>2</v>
      </c>
      <c r="B5" s="4"/>
      <c r="C5" s="5"/>
      <c r="D5" s="5"/>
      <c r="E5" s="5" t="s">
        <v>5</v>
      </c>
      <c r="F5" s="5" t="s">
        <v>5</v>
      </c>
      <c r="G5" s="5" t="s">
        <v>5</v>
      </c>
      <c r="H5" s="5" t="s">
        <v>5</v>
      </c>
      <c r="I5" s="10" t="s">
        <v>19</v>
      </c>
      <c r="J5" t="s">
        <v>22</v>
      </c>
    </row>
    <row r="6" spans="1:10" x14ac:dyDescent="0.3">
      <c r="A6" s="14" t="s">
        <v>21</v>
      </c>
      <c r="B6" s="4"/>
      <c r="C6" s="5"/>
      <c r="D6" s="5"/>
      <c r="E6" s="5"/>
      <c r="F6" s="5"/>
      <c r="G6" s="5"/>
      <c r="H6" s="5"/>
      <c r="I6" s="11" t="s">
        <v>19</v>
      </c>
      <c r="J6" t="s">
        <v>22</v>
      </c>
    </row>
    <row r="7" spans="1:10" x14ac:dyDescent="0.3">
      <c r="A7" s="14" t="s">
        <v>4</v>
      </c>
      <c r="B7" s="4"/>
      <c r="C7" s="5"/>
      <c r="D7" s="5"/>
      <c r="E7" s="5"/>
      <c r="F7" s="5"/>
      <c r="G7" s="5"/>
      <c r="H7" s="5"/>
      <c r="I7" s="11" t="s">
        <v>19</v>
      </c>
      <c r="J7" t="s">
        <v>22</v>
      </c>
    </row>
    <row r="8" spans="1:10" x14ac:dyDescent="0.3">
      <c r="A8" s="15" t="s">
        <v>17</v>
      </c>
      <c r="B8" s="7"/>
      <c r="C8" s="6"/>
      <c r="D8" s="5"/>
      <c r="E8" s="5"/>
      <c r="F8" s="5"/>
      <c r="G8" s="5"/>
      <c r="H8" s="5"/>
      <c r="I8" s="11" t="s">
        <v>20</v>
      </c>
    </row>
    <row r="9" spans="1:10" x14ac:dyDescent="0.3">
      <c r="A9" s="15" t="s">
        <v>24</v>
      </c>
      <c r="B9" s="7"/>
      <c r="C9" s="6"/>
      <c r="D9" s="5"/>
      <c r="E9" s="5"/>
      <c r="F9" s="5"/>
      <c r="G9" s="5"/>
      <c r="H9" s="5"/>
      <c r="I9" s="11" t="s">
        <v>20</v>
      </c>
    </row>
    <row r="10" spans="1:10" x14ac:dyDescent="0.3">
      <c r="A10" s="15" t="s">
        <v>25</v>
      </c>
      <c r="B10" s="7"/>
      <c r="C10" s="6"/>
      <c r="D10" s="5"/>
      <c r="E10" s="5"/>
      <c r="F10" s="5"/>
      <c r="G10" s="5"/>
      <c r="H10" s="5"/>
      <c r="I10" s="11" t="s">
        <v>20</v>
      </c>
    </row>
    <row r="11" spans="1:10" x14ac:dyDescent="0.3">
      <c r="A11" s="15" t="s">
        <v>26</v>
      </c>
      <c r="B11" s="7"/>
      <c r="C11" s="6"/>
      <c r="D11" s="5"/>
      <c r="E11" s="5"/>
      <c r="F11" s="5"/>
      <c r="G11" s="5"/>
      <c r="H11" s="5"/>
      <c r="I11" s="11" t="s">
        <v>20</v>
      </c>
    </row>
    <row r="12" spans="1:10" x14ac:dyDescent="0.3">
      <c r="A12" s="15" t="s">
        <v>27</v>
      </c>
      <c r="B12" s="7"/>
      <c r="C12" s="6"/>
      <c r="D12" s="6"/>
      <c r="E12" s="6"/>
      <c r="F12" s="5"/>
      <c r="G12" s="5"/>
      <c r="H12" s="5"/>
      <c r="I12" s="11" t="s">
        <v>20</v>
      </c>
    </row>
    <row r="13" spans="1:10" x14ac:dyDescent="0.3">
      <c r="A13" s="35" t="s">
        <v>88</v>
      </c>
      <c r="B13" s="7"/>
      <c r="C13" s="6"/>
      <c r="D13" s="6"/>
      <c r="E13" s="5">
        <v>34</v>
      </c>
      <c r="F13" s="5">
        <v>39</v>
      </c>
      <c r="G13" s="5">
        <v>47</v>
      </c>
      <c r="H13" s="5">
        <v>52</v>
      </c>
      <c r="I13" s="11" t="s">
        <v>19</v>
      </c>
      <c r="J13" t="s">
        <v>22</v>
      </c>
    </row>
    <row r="14" spans="1:10" x14ac:dyDescent="0.3">
      <c r="A14" s="37" t="s">
        <v>6</v>
      </c>
      <c r="B14" s="7"/>
      <c r="C14" s="6"/>
      <c r="D14" s="6"/>
      <c r="E14" s="5"/>
      <c r="F14" s="5"/>
      <c r="G14" s="5"/>
      <c r="H14" s="5"/>
      <c r="I14" s="11" t="s">
        <v>19</v>
      </c>
    </row>
    <row r="15" spans="1:10" x14ac:dyDescent="0.3">
      <c r="A15" s="38" t="s">
        <v>89</v>
      </c>
      <c r="B15" s="7"/>
      <c r="C15" s="6"/>
      <c r="D15" s="6"/>
      <c r="E15" s="5"/>
      <c r="F15" s="5"/>
      <c r="G15" s="5"/>
      <c r="H15" s="5"/>
      <c r="I15" s="11" t="s">
        <v>19</v>
      </c>
      <c r="J15" t="s">
        <v>8</v>
      </c>
    </row>
    <row r="16" spans="1:10" x14ac:dyDescent="0.3">
      <c r="A16" s="39" t="s">
        <v>7</v>
      </c>
      <c r="B16" s="7"/>
      <c r="C16" s="6"/>
      <c r="D16" s="6"/>
      <c r="E16" s="5"/>
      <c r="F16" s="5"/>
      <c r="G16" s="5"/>
      <c r="H16" s="5"/>
      <c r="I16" s="11" t="s">
        <v>20</v>
      </c>
      <c r="J16" t="s">
        <v>8</v>
      </c>
    </row>
    <row r="17" spans="1:10" x14ac:dyDescent="0.3">
      <c r="A17" s="33" t="s">
        <v>9</v>
      </c>
      <c r="B17" s="7"/>
      <c r="C17" s="6"/>
      <c r="D17" s="6"/>
      <c r="E17" s="5"/>
      <c r="F17" s="5"/>
      <c r="G17" s="5"/>
      <c r="H17" s="5"/>
      <c r="I17" s="11" t="s">
        <v>19</v>
      </c>
    </row>
    <row r="18" spans="1:10" x14ac:dyDescent="0.3">
      <c r="A18" s="33" t="s">
        <v>10</v>
      </c>
      <c r="B18" s="7"/>
      <c r="C18" s="6"/>
      <c r="D18" s="6"/>
      <c r="E18" s="6"/>
      <c r="F18" s="5"/>
      <c r="G18" s="5"/>
      <c r="H18" s="5"/>
      <c r="I18" s="11" t="s">
        <v>19</v>
      </c>
    </row>
    <row r="19" spans="1:10" x14ac:dyDescent="0.3">
      <c r="A19" s="36" t="s">
        <v>11</v>
      </c>
      <c r="B19" s="7"/>
      <c r="C19" s="6"/>
      <c r="D19" s="6"/>
      <c r="E19" s="6"/>
      <c r="F19" s="5"/>
      <c r="G19" s="5"/>
      <c r="H19" s="5"/>
      <c r="I19" s="11" t="s">
        <v>20</v>
      </c>
    </row>
    <row r="20" spans="1:10" x14ac:dyDescent="0.3">
      <c r="A20" s="33" t="s">
        <v>12</v>
      </c>
      <c r="B20" s="7"/>
      <c r="C20" s="6"/>
      <c r="D20" s="6"/>
      <c r="E20" s="6"/>
      <c r="F20" s="5"/>
      <c r="G20" s="5"/>
      <c r="H20" s="5"/>
      <c r="I20" s="11" t="s">
        <v>19</v>
      </c>
    </row>
    <row r="21" spans="1:10" x14ac:dyDescent="0.3">
      <c r="A21" s="32" t="s">
        <v>13</v>
      </c>
      <c r="B21" s="7"/>
      <c r="C21" s="6"/>
      <c r="D21" s="6"/>
      <c r="E21" s="6"/>
      <c r="F21" s="5"/>
      <c r="G21" s="5"/>
      <c r="H21" s="5"/>
      <c r="I21" s="11" t="s">
        <v>20</v>
      </c>
    </row>
    <row r="22" spans="1:10" s="31" customFormat="1" x14ac:dyDescent="0.3">
      <c r="A22" s="40" t="s">
        <v>14</v>
      </c>
      <c r="B22" s="28"/>
      <c r="C22" s="29"/>
      <c r="D22" s="29"/>
      <c r="E22" s="29"/>
      <c r="F22" s="29"/>
      <c r="G22" s="29"/>
      <c r="H22" s="29"/>
      <c r="I22" s="30" t="s">
        <v>20</v>
      </c>
    </row>
    <row r="23" spans="1:10" x14ac:dyDescent="0.3">
      <c r="A23" s="9" t="s">
        <v>15</v>
      </c>
      <c r="B23" s="7"/>
      <c r="C23" s="6"/>
      <c r="D23" s="6"/>
      <c r="E23" s="6"/>
      <c r="F23" s="8"/>
      <c r="G23" s="8"/>
      <c r="H23" s="8"/>
      <c r="I23" s="11" t="s">
        <v>20</v>
      </c>
      <c r="J23" t="s">
        <v>16</v>
      </c>
    </row>
    <row r="24" spans="1:10" x14ac:dyDescent="0.3">
      <c r="B24" s="7"/>
      <c r="C24" s="6"/>
      <c r="D24" s="6"/>
      <c r="E24" s="6"/>
      <c r="F24" s="6"/>
      <c r="G24" s="6"/>
      <c r="H24" s="6"/>
    </row>
    <row r="25" spans="1:10" x14ac:dyDescent="0.3">
      <c r="B25" s="7"/>
      <c r="C25" s="6"/>
      <c r="D25" s="6"/>
      <c r="E25" s="6"/>
      <c r="F25" s="6"/>
      <c r="G25" s="6"/>
      <c r="H25" s="6"/>
    </row>
    <row r="26" spans="1:10" x14ac:dyDescent="0.3">
      <c r="B26" s="7"/>
      <c r="C26" s="6"/>
      <c r="D26" s="6"/>
      <c r="E26" s="6"/>
      <c r="F26" s="6"/>
      <c r="G26" s="6"/>
      <c r="H26" s="6"/>
    </row>
    <row r="27" spans="1:10" x14ac:dyDescent="0.3">
      <c r="B27" s="7"/>
      <c r="C27" s="6"/>
      <c r="D27" s="6"/>
      <c r="E27" s="6"/>
      <c r="F27" s="6"/>
      <c r="G27" s="6"/>
      <c r="H27" s="6"/>
    </row>
    <row r="28" spans="1:10" x14ac:dyDescent="0.3">
      <c r="B28" s="7"/>
      <c r="C28" s="6"/>
      <c r="D28" s="6"/>
      <c r="E28" s="6"/>
      <c r="F28" s="6"/>
      <c r="G28" s="6"/>
      <c r="H28" s="6"/>
    </row>
    <row r="29" spans="1:10" x14ac:dyDescent="0.3">
      <c r="B29" s="7"/>
      <c r="C29" s="6"/>
      <c r="D29" s="6"/>
      <c r="E29" s="6"/>
      <c r="F29" s="6"/>
      <c r="G29" s="6"/>
      <c r="H29" s="6"/>
    </row>
    <row r="30" spans="1:10" x14ac:dyDescent="0.3">
      <c r="A30" s="43" t="s">
        <v>117</v>
      </c>
      <c r="B30" s="7"/>
      <c r="C30" s="6"/>
      <c r="D30" s="6"/>
      <c r="E30" s="6"/>
      <c r="F30" s="6"/>
      <c r="G30" s="6"/>
      <c r="H30" s="6"/>
    </row>
    <row r="31" spans="1:10" x14ac:dyDescent="0.3">
      <c r="B31" s="7"/>
      <c r="C31" s="6"/>
      <c r="D31" s="6"/>
      <c r="E31" s="6"/>
      <c r="F31" s="6"/>
      <c r="G31" s="6"/>
      <c r="H31" s="6"/>
    </row>
    <row r="32" spans="1:10" x14ac:dyDescent="0.3">
      <c r="B32" s="7"/>
      <c r="C32" s="6"/>
      <c r="D32" s="6"/>
      <c r="E32" s="6"/>
      <c r="F32" s="6"/>
      <c r="G32" s="6"/>
      <c r="H32" s="6"/>
    </row>
    <row r="33" spans="2:8" x14ac:dyDescent="0.3">
      <c r="B33" s="7"/>
      <c r="C33" s="6"/>
      <c r="D33" s="6"/>
      <c r="E33" s="6"/>
      <c r="F33" s="6"/>
      <c r="G33" s="6"/>
      <c r="H33" s="6"/>
    </row>
    <row r="34" spans="2:8" x14ac:dyDescent="0.3">
      <c r="B34" s="7"/>
      <c r="C34" s="6"/>
      <c r="D34" s="6"/>
      <c r="E34" s="6"/>
      <c r="F34" s="6"/>
      <c r="G34" s="6"/>
      <c r="H34" s="6"/>
    </row>
    <row r="35" spans="2:8" x14ac:dyDescent="0.3">
      <c r="B35" s="7"/>
      <c r="C35" s="6"/>
      <c r="D35" s="6"/>
      <c r="E35" s="6"/>
      <c r="F35" s="6"/>
      <c r="G35" s="6"/>
      <c r="H35" s="6"/>
    </row>
    <row r="36" spans="2:8" x14ac:dyDescent="0.3">
      <c r="B36" s="7"/>
      <c r="C36" s="6"/>
      <c r="D36" s="6"/>
      <c r="E36" s="6"/>
      <c r="F36" s="6"/>
      <c r="G36" s="6"/>
      <c r="H36" s="6"/>
    </row>
    <row r="37" spans="2:8" x14ac:dyDescent="0.3">
      <c r="B37" s="7"/>
      <c r="C37" s="6"/>
      <c r="D37" s="6"/>
      <c r="E37" s="6"/>
      <c r="F37" s="6"/>
      <c r="G37" s="6"/>
      <c r="H37" s="6"/>
    </row>
    <row r="38" spans="2:8" x14ac:dyDescent="0.3">
      <c r="B38" s="7"/>
      <c r="C38" s="6"/>
      <c r="D38" s="6"/>
      <c r="E38" s="6"/>
      <c r="F38" s="6"/>
      <c r="G38" s="6"/>
      <c r="H38" s="6"/>
    </row>
    <row r="39" spans="2:8" x14ac:dyDescent="0.3">
      <c r="B39" s="7"/>
      <c r="C39" s="6"/>
      <c r="D39" s="6"/>
      <c r="E39" s="6"/>
      <c r="F39" s="6"/>
      <c r="G39" s="6"/>
      <c r="H39" s="6"/>
    </row>
    <row r="40" spans="2:8" x14ac:dyDescent="0.3">
      <c r="B40" s="7"/>
      <c r="C40" s="6"/>
      <c r="D40" s="6"/>
      <c r="E40" s="6"/>
      <c r="F40" s="6"/>
      <c r="G40" s="6"/>
      <c r="H40" s="6"/>
    </row>
    <row r="41" spans="2:8" x14ac:dyDescent="0.3">
      <c r="B41" s="7"/>
      <c r="C41" s="6"/>
      <c r="D41" s="6"/>
      <c r="E41" s="6"/>
      <c r="F41" s="6"/>
      <c r="G41" s="6"/>
      <c r="H41" s="6"/>
    </row>
    <row r="42" spans="2:8" x14ac:dyDescent="0.3">
      <c r="B42" s="7"/>
      <c r="C42" s="6"/>
      <c r="D42" s="6"/>
      <c r="E42" s="6"/>
      <c r="F42" s="6"/>
      <c r="G42" s="6"/>
      <c r="H42" s="6"/>
    </row>
    <row r="43" spans="2:8" x14ac:dyDescent="0.3">
      <c r="B43" s="7"/>
      <c r="C43" s="6"/>
      <c r="D43" s="6"/>
      <c r="E43" s="6"/>
      <c r="F43" s="6"/>
      <c r="G43" s="6"/>
      <c r="H43" s="6"/>
    </row>
    <row r="44" spans="2:8" x14ac:dyDescent="0.3">
      <c r="B44" s="7"/>
      <c r="C44" s="6"/>
      <c r="D44" s="6"/>
      <c r="E44" s="6"/>
      <c r="F44" s="6"/>
      <c r="G44" s="6"/>
      <c r="H44" s="6"/>
    </row>
    <row r="45" spans="2:8" x14ac:dyDescent="0.3">
      <c r="B45" s="7"/>
      <c r="C45" s="6"/>
      <c r="D45" s="6"/>
      <c r="E45" s="6"/>
      <c r="F45" s="6"/>
      <c r="G45" s="6"/>
      <c r="H45" s="6"/>
    </row>
    <row r="46" spans="2:8" x14ac:dyDescent="0.3">
      <c r="B46" s="7"/>
      <c r="C46" s="6"/>
      <c r="D46" s="6"/>
      <c r="E46" s="6"/>
      <c r="F46" s="6"/>
      <c r="G46" s="6"/>
      <c r="H46" s="6"/>
    </row>
    <row r="47" spans="2:8" x14ac:dyDescent="0.3">
      <c r="B47" s="7"/>
      <c r="C47" s="6"/>
      <c r="D47" s="6"/>
      <c r="E47" s="6"/>
      <c r="F47" s="6"/>
      <c r="G47" s="6"/>
      <c r="H47" s="6"/>
    </row>
    <row r="48" spans="2:8" x14ac:dyDescent="0.3">
      <c r="B48" s="7"/>
      <c r="C48" s="6"/>
      <c r="D48" s="6"/>
      <c r="E48" s="6"/>
      <c r="F48" s="6"/>
      <c r="G48" s="6"/>
      <c r="H48" s="6"/>
    </row>
    <row r="49" spans="2:8" x14ac:dyDescent="0.3">
      <c r="B49" s="7"/>
      <c r="C49" s="6"/>
      <c r="D49" s="6"/>
      <c r="E49" s="6"/>
      <c r="F49" s="6"/>
      <c r="G49" s="6"/>
      <c r="H49" s="6"/>
    </row>
  </sheetData>
  <autoFilter ref="A1:J23" xr:uid="{73FF5B2A-63CC-45FC-B2E7-CE4A9AE78A38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4">
    <mergeCell ref="A1:A2"/>
    <mergeCell ref="B1:H1"/>
    <mergeCell ref="I1:I2"/>
    <mergeCell ref="J1:J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4680-EE7D-4ACD-AF6B-8B95745644F7}">
  <dimension ref="A1:I16"/>
  <sheetViews>
    <sheetView workbookViewId="0">
      <selection activeCell="O9" sqref="O9"/>
    </sheetView>
  </sheetViews>
  <sheetFormatPr defaultRowHeight="13.8" x14ac:dyDescent="0.25"/>
  <cols>
    <col min="1" max="1" width="35.109375" style="47" customWidth="1"/>
    <col min="2" max="8" width="6" style="47" customWidth="1"/>
    <col min="9" max="9" width="12.44140625" style="47" customWidth="1"/>
    <col min="10" max="16384" width="8.88671875" style="47"/>
  </cols>
  <sheetData>
    <row r="1" spans="1:9" ht="14.4" customHeight="1" x14ac:dyDescent="0.25">
      <c r="A1" s="62" t="s">
        <v>124</v>
      </c>
      <c r="B1" s="59" t="s">
        <v>23</v>
      </c>
      <c r="C1" s="59"/>
      <c r="D1" s="59"/>
      <c r="E1" s="59"/>
      <c r="F1" s="59"/>
      <c r="G1" s="59"/>
      <c r="H1" s="59"/>
      <c r="I1" s="60" t="s">
        <v>125</v>
      </c>
    </row>
    <row r="2" spans="1:9" x14ac:dyDescent="0.25">
      <c r="A2" s="63"/>
      <c r="B2" s="49">
        <v>2014</v>
      </c>
      <c r="C2" s="49">
        <v>2015</v>
      </c>
      <c r="D2" s="49">
        <v>2017</v>
      </c>
      <c r="E2" s="49">
        <v>2019</v>
      </c>
      <c r="F2" s="49">
        <v>2021</v>
      </c>
      <c r="G2" s="49">
        <v>2023</v>
      </c>
      <c r="H2" s="49">
        <v>2024</v>
      </c>
      <c r="I2" s="61"/>
    </row>
    <row r="3" spans="1:9" ht="27.6" x14ac:dyDescent="0.25">
      <c r="A3" s="51" t="s">
        <v>128</v>
      </c>
      <c r="B3" s="48" t="s">
        <v>140</v>
      </c>
      <c r="C3" s="48" t="s">
        <v>140</v>
      </c>
      <c r="D3" s="48" t="s">
        <v>140</v>
      </c>
      <c r="E3" s="48" t="s">
        <v>140</v>
      </c>
      <c r="F3" s="48" t="s">
        <v>140</v>
      </c>
      <c r="G3" s="48" t="s">
        <v>140</v>
      </c>
      <c r="H3" s="48" t="s">
        <v>140</v>
      </c>
      <c r="I3" s="48" t="s">
        <v>141</v>
      </c>
    </row>
    <row r="4" spans="1:9" ht="27.6" x14ac:dyDescent="0.25">
      <c r="A4" s="51" t="s">
        <v>132</v>
      </c>
      <c r="B4" s="48" t="s">
        <v>140</v>
      </c>
      <c r="C4" s="48" t="s">
        <v>140</v>
      </c>
      <c r="D4" s="48" t="s">
        <v>140</v>
      </c>
      <c r="E4" s="48" t="s">
        <v>140</v>
      </c>
      <c r="F4" s="48" t="s">
        <v>140</v>
      </c>
      <c r="G4" s="48" t="s">
        <v>140</v>
      </c>
      <c r="H4" s="48" t="s">
        <v>140</v>
      </c>
      <c r="I4" s="48" t="s">
        <v>141</v>
      </c>
    </row>
    <row r="5" spans="1:9" ht="27.6" x14ac:dyDescent="0.25">
      <c r="A5" s="51" t="s">
        <v>133</v>
      </c>
      <c r="B5" s="48" t="s">
        <v>140</v>
      </c>
      <c r="C5" s="48" t="s">
        <v>140</v>
      </c>
      <c r="D5" s="48" t="s">
        <v>140</v>
      </c>
      <c r="E5" s="48" t="s">
        <v>140</v>
      </c>
      <c r="F5" s="48" t="s">
        <v>140</v>
      </c>
      <c r="G5" s="48" t="s">
        <v>140</v>
      </c>
      <c r="H5" s="48" t="s">
        <v>140</v>
      </c>
      <c r="I5" s="48" t="s">
        <v>141</v>
      </c>
    </row>
    <row r="6" spans="1:9" ht="27.6" x14ac:dyDescent="0.25">
      <c r="A6" s="51" t="s">
        <v>129</v>
      </c>
      <c r="B6" s="48" t="s">
        <v>140</v>
      </c>
      <c r="C6" s="48" t="s">
        <v>140</v>
      </c>
      <c r="D6" s="48" t="s">
        <v>140</v>
      </c>
      <c r="E6" s="48" t="s">
        <v>140</v>
      </c>
      <c r="F6" s="48" t="s">
        <v>140</v>
      </c>
      <c r="G6" s="48" t="s">
        <v>140</v>
      </c>
      <c r="H6" s="48" t="s">
        <v>140</v>
      </c>
      <c r="I6" s="48" t="s">
        <v>141</v>
      </c>
    </row>
    <row r="7" spans="1:9" ht="27.6" x14ac:dyDescent="0.25">
      <c r="A7" s="51" t="s">
        <v>130</v>
      </c>
      <c r="B7" s="48" t="s">
        <v>140</v>
      </c>
      <c r="C7" s="48" t="s">
        <v>140</v>
      </c>
      <c r="D7" s="48" t="s">
        <v>140</v>
      </c>
      <c r="E7" s="48" t="s">
        <v>140</v>
      </c>
      <c r="F7" s="48" t="s">
        <v>140</v>
      </c>
      <c r="G7" s="48" t="s">
        <v>140</v>
      </c>
      <c r="H7" s="48" t="s">
        <v>140</v>
      </c>
      <c r="I7" s="48" t="s">
        <v>141</v>
      </c>
    </row>
    <row r="8" spans="1:9" ht="27.6" x14ac:dyDescent="0.25">
      <c r="A8" s="51" t="s">
        <v>131</v>
      </c>
      <c r="B8" s="48" t="s">
        <v>143</v>
      </c>
      <c r="C8" s="48" t="s">
        <v>143</v>
      </c>
      <c r="D8" s="48" t="s">
        <v>140</v>
      </c>
      <c r="E8" s="48" t="s">
        <v>140</v>
      </c>
      <c r="F8" s="48" t="s">
        <v>140</v>
      </c>
      <c r="G8" s="48" t="s">
        <v>140</v>
      </c>
      <c r="H8" s="48" t="s">
        <v>140</v>
      </c>
      <c r="I8" s="48" t="s">
        <v>142</v>
      </c>
    </row>
    <row r="9" spans="1:9" ht="27.6" x14ac:dyDescent="0.25">
      <c r="A9" s="51" t="s">
        <v>134</v>
      </c>
      <c r="B9" s="48"/>
      <c r="C9" s="48"/>
      <c r="D9" s="48" t="s">
        <v>143</v>
      </c>
      <c r="E9" s="48" t="s">
        <v>140</v>
      </c>
      <c r="F9" s="48" t="s">
        <v>140</v>
      </c>
      <c r="G9" s="48" t="s">
        <v>140</v>
      </c>
      <c r="H9" s="48" t="s">
        <v>140</v>
      </c>
      <c r="I9" s="48" t="s">
        <v>141</v>
      </c>
    </row>
    <row r="10" spans="1:9" ht="27.6" x14ac:dyDescent="0.25">
      <c r="A10" s="51" t="s">
        <v>126</v>
      </c>
      <c r="B10" s="48"/>
      <c r="C10" s="48"/>
      <c r="D10" s="48"/>
      <c r="E10" s="48"/>
      <c r="F10" s="48" t="s">
        <v>140</v>
      </c>
      <c r="G10" s="48" t="s">
        <v>140</v>
      </c>
      <c r="H10" s="48" t="s">
        <v>140</v>
      </c>
      <c r="I10" s="48" t="s">
        <v>141</v>
      </c>
    </row>
    <row r="11" spans="1:9" ht="27.6" x14ac:dyDescent="0.25">
      <c r="A11" s="51" t="s">
        <v>127</v>
      </c>
      <c r="B11" s="48"/>
      <c r="C11" s="48"/>
      <c r="D11" s="48"/>
      <c r="E11" s="48"/>
      <c r="F11" s="48" t="s">
        <v>140</v>
      </c>
      <c r="G11" s="48" t="s">
        <v>140</v>
      </c>
      <c r="H11" s="48" t="s">
        <v>140</v>
      </c>
      <c r="I11" s="48" t="s">
        <v>142</v>
      </c>
    </row>
    <row r="12" spans="1:9" ht="27.6" x14ac:dyDescent="0.25">
      <c r="A12" s="51" t="s">
        <v>135</v>
      </c>
      <c r="B12" s="48"/>
      <c r="C12" s="48"/>
      <c r="D12" s="48"/>
      <c r="E12" s="48"/>
      <c r="F12" s="48" t="s">
        <v>140</v>
      </c>
      <c r="G12" s="48" t="s">
        <v>140</v>
      </c>
      <c r="H12" s="48" t="s">
        <v>140</v>
      </c>
      <c r="I12" s="48" t="s">
        <v>142</v>
      </c>
    </row>
    <row r="13" spans="1:9" ht="41.4" x14ac:dyDescent="0.25">
      <c r="A13" s="51" t="s">
        <v>136</v>
      </c>
      <c r="B13" s="48"/>
      <c r="C13" s="48"/>
      <c r="D13" s="48"/>
      <c r="E13" s="48"/>
      <c r="F13" s="48" t="s">
        <v>140</v>
      </c>
      <c r="G13" s="48" t="s">
        <v>140</v>
      </c>
      <c r="H13" s="48" t="s">
        <v>140</v>
      </c>
      <c r="I13" s="48" t="s">
        <v>142</v>
      </c>
    </row>
    <row r="14" spans="1:9" ht="41.4" x14ac:dyDescent="0.25">
      <c r="A14" s="51" t="s">
        <v>137</v>
      </c>
      <c r="B14" s="48"/>
      <c r="C14" s="48"/>
      <c r="D14" s="48"/>
      <c r="E14" s="48"/>
      <c r="F14" s="48" t="s">
        <v>140</v>
      </c>
      <c r="G14" s="48" t="s">
        <v>140</v>
      </c>
      <c r="H14" s="48" t="s">
        <v>140</v>
      </c>
      <c r="I14" s="48" t="s">
        <v>142</v>
      </c>
    </row>
    <row r="15" spans="1:9" ht="41.4" x14ac:dyDescent="0.25">
      <c r="A15" s="51" t="s">
        <v>138</v>
      </c>
      <c r="B15" s="48"/>
      <c r="C15" s="48"/>
      <c r="D15" s="48"/>
      <c r="E15" s="48"/>
      <c r="F15" s="48" t="s">
        <v>140</v>
      </c>
      <c r="G15" s="48" t="s">
        <v>140</v>
      </c>
      <c r="H15" s="48" t="s">
        <v>140</v>
      </c>
      <c r="I15" s="48" t="s">
        <v>142</v>
      </c>
    </row>
    <row r="16" spans="1:9" ht="27.6" x14ac:dyDescent="0.25">
      <c r="A16" s="52" t="s">
        <v>139</v>
      </c>
      <c r="B16" s="50"/>
      <c r="C16" s="50"/>
      <c r="D16" s="50"/>
      <c r="E16" s="50"/>
      <c r="F16" s="50" t="s">
        <v>140</v>
      </c>
      <c r="G16" s="50" t="s">
        <v>140</v>
      </c>
      <c r="H16" s="50" t="s">
        <v>140</v>
      </c>
      <c r="I16" s="50" t="s">
        <v>142</v>
      </c>
    </row>
  </sheetData>
  <mergeCells count="3">
    <mergeCell ref="B1:H1"/>
    <mergeCell ref="I1:I2"/>
    <mergeCell ref="A1:A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9FA8-C751-4019-ACB7-C1207E47EA7B}">
  <dimension ref="B1:R8"/>
  <sheetViews>
    <sheetView workbookViewId="0">
      <selection activeCell="P21" sqref="P21"/>
    </sheetView>
  </sheetViews>
  <sheetFormatPr defaultRowHeight="14.4" x14ac:dyDescent="0.3"/>
  <cols>
    <col min="18" max="18" width="9.5546875" bestFit="1" customWidth="1"/>
  </cols>
  <sheetData>
    <row r="1" spans="2:18" x14ac:dyDescent="0.3">
      <c r="H1" t="s">
        <v>120</v>
      </c>
      <c r="I1" t="s">
        <v>121</v>
      </c>
      <c r="J1" t="s">
        <v>122</v>
      </c>
      <c r="K1" t="s">
        <v>123</v>
      </c>
      <c r="M1" t="s">
        <v>119</v>
      </c>
    </row>
    <row r="2" spans="2:18" x14ac:dyDescent="0.3">
      <c r="B2" t="s">
        <v>118</v>
      </c>
      <c r="E2">
        <v>2014</v>
      </c>
      <c r="F2">
        <v>39</v>
      </c>
    </row>
    <row r="3" spans="2:18" x14ac:dyDescent="0.3">
      <c r="E3">
        <v>2015</v>
      </c>
      <c r="F3">
        <v>43</v>
      </c>
    </row>
    <row r="4" spans="2:18" x14ac:dyDescent="0.3">
      <c r="E4">
        <v>2017</v>
      </c>
      <c r="F4">
        <v>40</v>
      </c>
      <c r="H4" s="45">
        <v>210205</v>
      </c>
      <c r="I4" s="45">
        <v>319318</v>
      </c>
      <c r="J4" s="45">
        <v>288</v>
      </c>
      <c r="K4" s="45">
        <v>50</v>
      </c>
      <c r="L4" s="45"/>
      <c r="M4" s="45">
        <f>SUM(H4:L4)</f>
        <v>529861</v>
      </c>
      <c r="R4" s="46">
        <f>H4/M4</f>
        <v>0.39671725226049853</v>
      </c>
    </row>
    <row r="5" spans="2:18" x14ac:dyDescent="0.3">
      <c r="E5">
        <v>2019</v>
      </c>
      <c r="F5">
        <v>40</v>
      </c>
      <c r="H5" s="45">
        <v>203152</v>
      </c>
      <c r="I5" s="45">
        <v>302075</v>
      </c>
      <c r="J5" s="45">
        <v>215</v>
      </c>
      <c r="K5" s="45">
        <v>1159</v>
      </c>
      <c r="L5" s="45"/>
      <c r="M5" s="45">
        <f t="shared" ref="M5:M8" si="0">SUM(H5:L5)</f>
        <v>506601</v>
      </c>
      <c r="R5" s="46">
        <f t="shared" ref="R5:R8" si="1">H5/M5</f>
        <v>0.40100986772627767</v>
      </c>
    </row>
    <row r="6" spans="2:18" x14ac:dyDescent="0.3">
      <c r="E6">
        <v>2021</v>
      </c>
      <c r="F6">
        <v>44</v>
      </c>
      <c r="H6" s="45">
        <v>223420</v>
      </c>
      <c r="I6" s="45">
        <v>284397</v>
      </c>
      <c r="J6" s="45">
        <v>1105</v>
      </c>
      <c r="K6" s="45">
        <v>127</v>
      </c>
      <c r="L6" s="45"/>
      <c r="M6" s="45">
        <f t="shared" si="0"/>
        <v>509049</v>
      </c>
      <c r="R6" s="46">
        <f t="shared" si="1"/>
        <v>0.43889684490098202</v>
      </c>
    </row>
    <row r="7" spans="2:18" x14ac:dyDescent="0.3">
      <c r="E7">
        <v>2023</v>
      </c>
      <c r="F7">
        <v>43</v>
      </c>
      <c r="H7" s="45">
        <v>207167</v>
      </c>
      <c r="I7" s="45">
        <v>271052</v>
      </c>
      <c r="J7" s="45">
        <v>459</v>
      </c>
      <c r="K7" s="45">
        <v>315</v>
      </c>
      <c r="L7" s="45"/>
      <c r="M7" s="45">
        <f t="shared" si="0"/>
        <v>478993</v>
      </c>
      <c r="R7" s="46">
        <f t="shared" si="1"/>
        <v>0.4325052766950665</v>
      </c>
    </row>
    <row r="8" spans="2:18" x14ac:dyDescent="0.3">
      <c r="E8">
        <v>2024</v>
      </c>
      <c r="F8">
        <v>34</v>
      </c>
      <c r="H8" s="45">
        <v>173494</v>
      </c>
      <c r="I8" s="45">
        <v>332464</v>
      </c>
      <c r="J8" s="45">
        <v>338</v>
      </c>
      <c r="K8" s="45">
        <v>195</v>
      </c>
      <c r="L8" s="45"/>
      <c r="M8" s="45">
        <f t="shared" si="0"/>
        <v>506491</v>
      </c>
      <c r="R8" s="46">
        <f t="shared" si="1"/>
        <v>0.34254113103687922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6226-F642-48D6-8B03-1A61B9F2366D}">
  <dimension ref="A2:H22"/>
  <sheetViews>
    <sheetView topLeftCell="A17" workbookViewId="0">
      <selection activeCell="H43" sqref="H43"/>
    </sheetView>
  </sheetViews>
  <sheetFormatPr defaultRowHeight="14.4" x14ac:dyDescent="0.3"/>
  <cols>
    <col min="3" max="8" width="36.6640625" customWidth="1"/>
  </cols>
  <sheetData>
    <row r="2" spans="1:8" ht="15" thickBot="1" x14ac:dyDescent="0.35"/>
    <row r="3" spans="1:8" ht="44.4" customHeight="1" thickTop="1" thickBot="1" x14ac:dyDescent="0.35">
      <c r="A3" s="17">
        <v>2021</v>
      </c>
      <c r="B3" s="18"/>
      <c r="C3" s="23" t="s">
        <v>29</v>
      </c>
      <c r="D3" s="23" t="s">
        <v>30</v>
      </c>
      <c r="E3" s="23" t="s">
        <v>31</v>
      </c>
      <c r="F3" s="23" t="s">
        <v>32</v>
      </c>
      <c r="G3" s="23" t="s">
        <v>33</v>
      </c>
      <c r="H3" s="23" t="s">
        <v>34</v>
      </c>
    </row>
    <row r="4" spans="1:8" ht="44.4" customHeight="1" thickTop="1" thickBot="1" x14ac:dyDescent="0.35">
      <c r="A4" s="17"/>
      <c r="B4" s="18"/>
      <c r="C4" s="23" t="s">
        <v>29</v>
      </c>
      <c r="D4" s="23" t="s">
        <v>30</v>
      </c>
      <c r="E4" s="23" t="s">
        <v>31</v>
      </c>
      <c r="F4" s="23" t="s">
        <v>32</v>
      </c>
      <c r="G4" s="23" t="s">
        <v>33</v>
      </c>
      <c r="H4" s="23" t="s">
        <v>34</v>
      </c>
    </row>
    <row r="5" spans="1:8" ht="15.6" thickTop="1" thickBot="1" x14ac:dyDescent="0.35">
      <c r="A5" s="17"/>
      <c r="B5" s="18">
        <v>2021</v>
      </c>
      <c r="C5" s="16">
        <v>44.332099999999997</v>
      </c>
      <c r="D5" s="16">
        <v>85.216700000000003</v>
      </c>
      <c r="E5" s="16">
        <v>29.426200000000001</v>
      </c>
      <c r="F5" s="16">
        <v>39.3827</v>
      </c>
      <c r="G5" s="16">
        <v>38.191899999999997</v>
      </c>
      <c r="H5" s="16">
        <v>31.366599999999998</v>
      </c>
    </row>
    <row r="6" spans="1:8" ht="15.6" thickTop="1" thickBot="1" x14ac:dyDescent="0.35">
      <c r="A6" s="17"/>
      <c r="B6" s="17"/>
    </row>
    <row r="7" spans="1:8" ht="52.2" customHeight="1" thickTop="1" thickBot="1" x14ac:dyDescent="0.35">
      <c r="A7" s="17">
        <v>2023</v>
      </c>
      <c r="B7" s="18"/>
      <c r="C7" s="64" t="s">
        <v>29</v>
      </c>
      <c r="D7" s="64" t="s">
        <v>30</v>
      </c>
      <c r="E7" s="64" t="s">
        <v>31</v>
      </c>
      <c r="F7" s="64" t="s">
        <v>32</v>
      </c>
      <c r="G7" s="64" t="s">
        <v>33</v>
      </c>
      <c r="H7" s="64" t="s">
        <v>34</v>
      </c>
    </row>
    <row r="8" spans="1:8" ht="52.2" customHeight="1" thickTop="1" thickBot="1" x14ac:dyDescent="0.35">
      <c r="A8" s="17"/>
      <c r="B8" s="18"/>
      <c r="C8" s="64" t="s">
        <v>29</v>
      </c>
      <c r="D8" s="64" t="s">
        <v>30</v>
      </c>
      <c r="E8" s="64" t="s">
        <v>31</v>
      </c>
      <c r="F8" s="64" t="s">
        <v>32</v>
      </c>
      <c r="G8" s="64" t="s">
        <v>33</v>
      </c>
      <c r="H8" s="64" t="s">
        <v>34</v>
      </c>
    </row>
    <row r="9" spans="1:8" ht="31.2" customHeight="1" thickTop="1" thickBot="1" x14ac:dyDescent="0.35">
      <c r="A9" s="17"/>
      <c r="B9" s="18">
        <v>2023</v>
      </c>
      <c r="C9" s="16">
        <v>46.357999999999997</v>
      </c>
      <c r="D9" s="16">
        <v>84.448999999999998</v>
      </c>
      <c r="E9" s="16">
        <v>27.442</v>
      </c>
      <c r="F9" s="16">
        <v>38.911799999999999</v>
      </c>
      <c r="G9" s="16">
        <v>37.814500000000002</v>
      </c>
      <c r="H9" s="16">
        <v>33.062899999999999</v>
      </c>
    </row>
    <row r="10" spans="1:8" ht="52.2" customHeight="1" thickTop="1" thickBot="1" x14ac:dyDescent="0.35"/>
    <row r="11" spans="1:8" ht="54" customHeight="1" thickTop="1" thickBot="1" x14ac:dyDescent="0.35">
      <c r="A11" s="17">
        <v>2024</v>
      </c>
      <c r="B11" s="18"/>
      <c r="C11" s="64" t="s">
        <v>29</v>
      </c>
      <c r="D11" s="64" t="s">
        <v>30</v>
      </c>
      <c r="E11" s="64" t="s">
        <v>31</v>
      </c>
      <c r="F11" s="64" t="s">
        <v>32</v>
      </c>
      <c r="G11" s="64" t="s">
        <v>33</v>
      </c>
      <c r="H11" s="64" t="s">
        <v>34</v>
      </c>
    </row>
    <row r="12" spans="1:8" ht="54" customHeight="1" thickTop="1" thickBot="1" x14ac:dyDescent="0.35">
      <c r="A12" s="17"/>
      <c r="B12" s="18"/>
      <c r="C12" s="64" t="s">
        <v>29</v>
      </c>
      <c r="D12" s="64" t="s">
        <v>30</v>
      </c>
      <c r="E12" s="64" t="s">
        <v>31</v>
      </c>
      <c r="F12" s="64" t="s">
        <v>32</v>
      </c>
      <c r="G12" s="64" t="s">
        <v>33</v>
      </c>
      <c r="H12" s="64" t="s">
        <v>34</v>
      </c>
    </row>
    <row r="13" spans="1:8" ht="15.6" thickTop="1" thickBot="1" x14ac:dyDescent="0.35">
      <c r="A13" s="17"/>
      <c r="B13" s="18">
        <v>2024</v>
      </c>
      <c r="C13" s="16">
        <v>50.225000000000001</v>
      </c>
      <c r="D13" s="16">
        <v>83.874899999999997</v>
      </c>
      <c r="E13" s="16">
        <v>31.5623</v>
      </c>
      <c r="F13" s="16">
        <v>43.443100000000001</v>
      </c>
      <c r="G13" s="16">
        <v>43.963999999999999</v>
      </c>
      <c r="H13" s="16">
        <v>39.893000000000001</v>
      </c>
    </row>
    <row r="14" spans="1:8" ht="15" thickTop="1" x14ac:dyDescent="0.3"/>
    <row r="19" spans="2:8" x14ac:dyDescent="0.3">
      <c r="B19" t="s">
        <v>41</v>
      </c>
      <c r="C19" t="s">
        <v>42</v>
      </c>
      <c r="D19" t="s">
        <v>43</v>
      </c>
      <c r="E19" t="s">
        <v>44</v>
      </c>
      <c r="F19" t="s">
        <v>45</v>
      </c>
      <c r="G19" t="s">
        <v>46</v>
      </c>
      <c r="H19" t="s">
        <v>47</v>
      </c>
    </row>
    <row r="20" spans="2:8" x14ac:dyDescent="0.3">
      <c r="B20">
        <v>2021</v>
      </c>
      <c r="C20">
        <v>44.332099999999997</v>
      </c>
      <c r="D20">
        <v>85.216700000000003</v>
      </c>
      <c r="E20">
        <v>29.426200000000001</v>
      </c>
      <c r="F20">
        <v>39.3827</v>
      </c>
      <c r="G20">
        <v>38.191899999999997</v>
      </c>
      <c r="H20">
        <v>31.366599999999998</v>
      </c>
    </row>
    <row r="21" spans="2:8" x14ac:dyDescent="0.3">
      <c r="B21">
        <v>2023</v>
      </c>
      <c r="C21">
        <v>46.357999999999997</v>
      </c>
      <c r="D21">
        <v>84.448999999999998</v>
      </c>
      <c r="E21">
        <v>27.442</v>
      </c>
      <c r="F21">
        <v>38.911799999999999</v>
      </c>
      <c r="G21">
        <v>37.814500000000002</v>
      </c>
      <c r="H21">
        <v>33.062899999999999</v>
      </c>
    </row>
    <row r="22" spans="2:8" x14ac:dyDescent="0.3">
      <c r="B22">
        <v>2024</v>
      </c>
      <c r="C22">
        <v>50.225000000000001</v>
      </c>
      <c r="D22">
        <v>83.874899999999997</v>
      </c>
      <c r="E22">
        <v>31.5623</v>
      </c>
      <c r="F22">
        <v>43.443100000000001</v>
      </c>
      <c r="G22">
        <v>43.963999999999999</v>
      </c>
      <c r="H22">
        <v>39.893000000000001</v>
      </c>
    </row>
  </sheetData>
  <mergeCells count="12">
    <mergeCell ref="H7:H8"/>
    <mergeCell ref="C7:C8"/>
    <mergeCell ref="D7:D8"/>
    <mergeCell ref="E7:E8"/>
    <mergeCell ref="F7:F8"/>
    <mergeCell ref="G7:G8"/>
    <mergeCell ref="F11:F12"/>
    <mergeCell ref="G11:G12"/>
    <mergeCell ref="H11:H12"/>
    <mergeCell ref="C11:C12"/>
    <mergeCell ref="D11:D12"/>
    <mergeCell ref="E11:E12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F07A-7E64-449D-92CE-EA1004D1ECCA}">
  <dimension ref="B2:J15"/>
  <sheetViews>
    <sheetView topLeftCell="A9" workbookViewId="0">
      <selection activeCell="I11" sqref="I11"/>
    </sheetView>
  </sheetViews>
  <sheetFormatPr defaultRowHeight="14.4" x14ac:dyDescent="0.3"/>
  <cols>
    <col min="2" max="2" width="5" bestFit="1" customWidth="1"/>
    <col min="3" max="3" width="31.88671875" customWidth="1"/>
    <col min="4" max="4" width="35.21875" bestFit="1" customWidth="1"/>
    <col min="5" max="5" width="33" bestFit="1" customWidth="1"/>
    <col min="6" max="6" width="24.109375" bestFit="1" customWidth="1"/>
    <col min="7" max="7" width="22.21875" bestFit="1" customWidth="1"/>
    <col min="8" max="8" width="28.88671875" bestFit="1" customWidth="1"/>
    <col min="9" max="9" width="19.5546875" bestFit="1" customWidth="1"/>
  </cols>
  <sheetData>
    <row r="2" spans="2:10" x14ac:dyDescent="0.3">
      <c r="B2" t="s">
        <v>41</v>
      </c>
      <c r="C2" t="s">
        <v>35</v>
      </c>
      <c r="D2" t="s">
        <v>36</v>
      </c>
      <c r="E2" t="s">
        <v>37</v>
      </c>
      <c r="F2" t="s">
        <v>38</v>
      </c>
      <c r="G2" t="s">
        <v>28</v>
      </c>
      <c r="H2" t="s">
        <v>39</v>
      </c>
      <c r="I2" t="s">
        <v>40</v>
      </c>
    </row>
    <row r="3" spans="2:10" x14ac:dyDescent="0.3">
      <c r="B3">
        <v>2019</v>
      </c>
      <c r="C3" s="21">
        <v>17</v>
      </c>
      <c r="D3" s="22">
        <v>4</v>
      </c>
      <c r="E3" s="22">
        <v>25</v>
      </c>
      <c r="F3" s="22">
        <v>41</v>
      </c>
      <c r="G3" s="22">
        <v>18</v>
      </c>
      <c r="H3" s="22">
        <v>4</v>
      </c>
      <c r="I3" s="22">
        <v>22</v>
      </c>
    </row>
    <row r="4" spans="2:10" x14ac:dyDescent="0.3">
      <c r="B4">
        <v>2021</v>
      </c>
      <c r="C4" s="20">
        <v>44.73</v>
      </c>
      <c r="D4" s="20">
        <v>27</v>
      </c>
      <c r="E4" s="20">
        <v>24.986999999999998</v>
      </c>
      <c r="F4" s="20">
        <v>40.711799999999997</v>
      </c>
      <c r="G4" s="20">
        <v>28.97</v>
      </c>
      <c r="H4" s="20">
        <v>2.6360000000000001</v>
      </c>
      <c r="I4" s="20">
        <v>14.733700000000001</v>
      </c>
    </row>
    <row r="5" spans="2:10" x14ac:dyDescent="0.3">
      <c r="B5">
        <v>2023</v>
      </c>
      <c r="C5" s="20">
        <v>34.14</v>
      </c>
      <c r="D5" s="20">
        <v>7.968</v>
      </c>
      <c r="E5" s="20">
        <v>42.135800000000003</v>
      </c>
      <c r="F5" s="20">
        <v>38.337000000000003</v>
      </c>
      <c r="G5" s="20">
        <v>26.38</v>
      </c>
      <c r="H5" s="20">
        <v>3.4398</v>
      </c>
      <c r="I5" s="20">
        <v>31.327999999999999</v>
      </c>
    </row>
    <row r="6" spans="2:10" x14ac:dyDescent="0.3">
      <c r="B6">
        <v>2024</v>
      </c>
      <c r="C6" s="20">
        <v>28.527999999999999</v>
      </c>
      <c r="D6" s="20">
        <v>16.68</v>
      </c>
      <c r="E6" s="20">
        <v>48.41</v>
      </c>
      <c r="F6" s="20">
        <v>50.095300000000002</v>
      </c>
      <c r="G6" s="20">
        <v>39.06</v>
      </c>
      <c r="H6" s="20">
        <v>5.7103999999999999</v>
      </c>
      <c r="I6" s="20">
        <v>30.15</v>
      </c>
    </row>
    <row r="8" spans="2:10" x14ac:dyDescent="0.3">
      <c r="B8" s="34" t="s">
        <v>96</v>
      </c>
    </row>
    <row r="9" spans="2:10" ht="57.6" x14ac:dyDescent="0.3">
      <c r="C9" s="27" t="s">
        <v>90</v>
      </c>
      <c r="D9" s="27" t="s">
        <v>91</v>
      </c>
      <c r="E9" s="27" t="s">
        <v>92</v>
      </c>
      <c r="F9" s="27" t="s">
        <v>93</v>
      </c>
      <c r="G9" s="27" t="s">
        <v>28</v>
      </c>
      <c r="H9" s="27" t="s">
        <v>94</v>
      </c>
      <c r="I9" s="27" t="s">
        <v>95</v>
      </c>
      <c r="J9" s="27"/>
    </row>
    <row r="10" spans="2:10" x14ac:dyDescent="0.3"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</row>
    <row r="11" spans="2:10" x14ac:dyDescent="0.3">
      <c r="B11" t="s">
        <v>41</v>
      </c>
      <c r="C11" t="s">
        <v>97</v>
      </c>
      <c r="D11" t="s">
        <v>36</v>
      </c>
      <c r="E11" t="s">
        <v>98</v>
      </c>
      <c r="F11" t="s">
        <v>38</v>
      </c>
      <c r="G11" t="s">
        <v>28</v>
      </c>
      <c r="H11" t="s">
        <v>47</v>
      </c>
      <c r="I11" t="s">
        <v>40</v>
      </c>
    </row>
    <row r="12" spans="2:10" x14ac:dyDescent="0.3">
      <c r="B12">
        <v>2019</v>
      </c>
      <c r="C12" s="21">
        <v>17</v>
      </c>
      <c r="D12" s="22">
        <v>4</v>
      </c>
      <c r="E12" s="22">
        <v>25</v>
      </c>
      <c r="F12" s="22">
        <v>41</v>
      </c>
      <c r="G12" s="22">
        <v>18</v>
      </c>
      <c r="H12" s="22">
        <v>4</v>
      </c>
      <c r="I12" s="22">
        <v>22</v>
      </c>
    </row>
    <row r="13" spans="2:10" x14ac:dyDescent="0.3">
      <c r="B13">
        <v>2021</v>
      </c>
      <c r="C13" s="20">
        <v>44.73</v>
      </c>
      <c r="D13" s="20">
        <v>27</v>
      </c>
      <c r="E13" s="20">
        <v>24.986999999999998</v>
      </c>
      <c r="F13" s="20">
        <v>40.711799999999997</v>
      </c>
      <c r="G13" s="20">
        <v>28.97</v>
      </c>
      <c r="H13" s="20">
        <v>2.6360000000000001</v>
      </c>
      <c r="I13" s="20">
        <v>14.733700000000001</v>
      </c>
    </row>
    <row r="14" spans="2:10" x14ac:dyDescent="0.3">
      <c r="B14">
        <v>2023</v>
      </c>
      <c r="C14" s="20">
        <v>34.14</v>
      </c>
      <c r="D14" s="20">
        <v>7.968</v>
      </c>
      <c r="E14" s="20">
        <v>42.135800000000003</v>
      </c>
      <c r="F14" s="20">
        <v>38.337000000000003</v>
      </c>
      <c r="G14" s="20">
        <v>26.38</v>
      </c>
      <c r="H14" s="20">
        <v>3.4398</v>
      </c>
      <c r="I14" s="20">
        <v>31.327999999999999</v>
      </c>
    </row>
    <row r="15" spans="2:10" x14ac:dyDescent="0.3">
      <c r="B15">
        <v>2024</v>
      </c>
      <c r="C15" s="20">
        <v>28.527999999999999</v>
      </c>
      <c r="D15" s="20">
        <v>16.68</v>
      </c>
      <c r="E15" s="20">
        <v>48.41</v>
      </c>
      <c r="F15" s="20">
        <v>50.095300000000002</v>
      </c>
      <c r="G15" s="20">
        <v>39.06</v>
      </c>
      <c r="H15" s="20">
        <v>5.7103999999999999</v>
      </c>
      <c r="I15" s="20">
        <v>30.15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938E-A436-4CE7-966F-A60A95C97A18}">
  <dimension ref="B1:F20"/>
  <sheetViews>
    <sheetView workbookViewId="0">
      <selection activeCell="D2" sqref="D2:D3"/>
    </sheetView>
  </sheetViews>
  <sheetFormatPr defaultRowHeight="14.4" x14ac:dyDescent="0.3"/>
  <cols>
    <col min="3" max="6" width="54.109375" customWidth="1"/>
  </cols>
  <sheetData>
    <row r="1" spans="2:6" ht="15" thickBot="1" x14ac:dyDescent="0.35"/>
    <row r="2" spans="2:6" ht="50.4" customHeight="1" thickTop="1" thickBot="1" x14ac:dyDescent="0.35">
      <c r="B2" s="19"/>
      <c r="C2" s="65" t="s">
        <v>48</v>
      </c>
      <c r="D2" s="65" t="s">
        <v>49</v>
      </c>
      <c r="E2" s="65" t="s">
        <v>50</v>
      </c>
      <c r="F2" s="65" t="s">
        <v>52</v>
      </c>
    </row>
    <row r="3" spans="2:6" ht="50.4" customHeight="1" thickTop="1" thickBot="1" x14ac:dyDescent="0.35">
      <c r="B3" s="19"/>
      <c r="C3" s="65" t="s">
        <v>48</v>
      </c>
      <c r="D3" s="65" t="s">
        <v>49</v>
      </c>
      <c r="E3" s="65" t="s">
        <v>50</v>
      </c>
      <c r="F3" s="65" t="s">
        <v>52</v>
      </c>
    </row>
    <row r="4" spans="2:6" ht="15.6" thickTop="1" thickBot="1" x14ac:dyDescent="0.35">
      <c r="B4" s="19">
        <v>2021</v>
      </c>
      <c r="C4" s="26" t="s">
        <v>53</v>
      </c>
      <c r="D4" s="26" t="s">
        <v>54</v>
      </c>
      <c r="E4" s="26" t="s">
        <v>55</v>
      </c>
      <c r="F4" s="26" t="s">
        <v>56</v>
      </c>
    </row>
    <row r="5" spans="2:6" ht="15" thickTop="1" x14ac:dyDescent="0.3"/>
    <row r="6" spans="2:6" ht="15" thickBot="1" x14ac:dyDescent="0.35"/>
    <row r="7" spans="2:6" ht="37.200000000000003" customHeight="1" thickTop="1" thickBot="1" x14ac:dyDescent="0.35">
      <c r="B7" s="19"/>
      <c r="C7" s="66" t="s">
        <v>48</v>
      </c>
      <c r="D7" s="66" t="s">
        <v>49</v>
      </c>
      <c r="E7" s="66" t="s">
        <v>50</v>
      </c>
      <c r="F7" s="66" t="s">
        <v>51</v>
      </c>
    </row>
    <row r="8" spans="2:6" ht="37.200000000000003" customHeight="1" thickTop="1" thickBot="1" x14ac:dyDescent="0.35">
      <c r="B8" s="19"/>
      <c r="C8" s="66" t="s">
        <v>48</v>
      </c>
      <c r="D8" s="66" t="s">
        <v>49</v>
      </c>
      <c r="E8" s="66" t="s">
        <v>50</v>
      </c>
      <c r="F8" s="66" t="s">
        <v>51</v>
      </c>
    </row>
    <row r="9" spans="2:6" ht="15.6" thickTop="1" thickBot="1" x14ac:dyDescent="0.35">
      <c r="B9" s="19">
        <v>2021</v>
      </c>
      <c r="C9" s="25">
        <v>74.260900000000007</v>
      </c>
      <c r="D9" s="25">
        <v>58.155700000000003</v>
      </c>
      <c r="E9" s="25">
        <v>58.2072</v>
      </c>
      <c r="F9" s="25">
        <v>38.567999999999998</v>
      </c>
    </row>
    <row r="10" spans="2:6" ht="15" thickTop="1" x14ac:dyDescent="0.3"/>
    <row r="11" spans="2:6" ht="15" thickBot="1" x14ac:dyDescent="0.35"/>
    <row r="12" spans="2:6" ht="36" customHeight="1" thickTop="1" thickBot="1" x14ac:dyDescent="0.35">
      <c r="C12" s="24" t="s">
        <v>48</v>
      </c>
      <c r="D12" s="24" t="s">
        <v>49</v>
      </c>
      <c r="E12" s="24" t="s">
        <v>50</v>
      </c>
      <c r="F12" s="24" t="s">
        <v>51</v>
      </c>
    </row>
    <row r="13" spans="2:6" ht="36" customHeight="1" thickTop="1" thickBot="1" x14ac:dyDescent="0.35">
      <c r="C13" s="24" t="s">
        <v>48</v>
      </c>
      <c r="D13" s="24" t="s">
        <v>49</v>
      </c>
      <c r="E13" s="24" t="s">
        <v>50</v>
      </c>
      <c r="F13" s="24" t="s">
        <v>51</v>
      </c>
    </row>
    <row r="14" spans="2:6" ht="15.6" thickTop="1" thickBot="1" x14ac:dyDescent="0.35">
      <c r="B14">
        <v>2023</v>
      </c>
      <c r="C14" s="25">
        <v>66.725899999999996</v>
      </c>
      <c r="D14" s="25">
        <v>59.3536</v>
      </c>
      <c r="E14" s="25">
        <v>63.992400000000004</v>
      </c>
      <c r="F14" s="25">
        <v>47.306399999999996</v>
      </c>
    </row>
    <row r="15" spans="2:6" ht="15" thickTop="1" x14ac:dyDescent="0.3"/>
    <row r="16" spans="2:6" ht="15" thickBot="1" x14ac:dyDescent="0.35"/>
    <row r="17" spans="2:6" ht="54" thickTop="1" thickBot="1" x14ac:dyDescent="0.35">
      <c r="C17" s="24" t="s">
        <v>48</v>
      </c>
      <c r="D17" s="24" t="s">
        <v>49</v>
      </c>
      <c r="E17" s="24" t="s">
        <v>50</v>
      </c>
      <c r="F17" s="24" t="s">
        <v>51</v>
      </c>
    </row>
    <row r="18" spans="2:6" ht="54" thickTop="1" thickBot="1" x14ac:dyDescent="0.35">
      <c r="C18" s="24" t="s">
        <v>48</v>
      </c>
      <c r="D18" s="24" t="s">
        <v>49</v>
      </c>
      <c r="E18" s="24" t="s">
        <v>50</v>
      </c>
      <c r="F18" s="24" t="s">
        <v>51</v>
      </c>
    </row>
    <row r="19" spans="2:6" ht="15.6" thickTop="1" thickBot="1" x14ac:dyDescent="0.35">
      <c r="B19">
        <v>2024</v>
      </c>
      <c r="C19" s="25">
        <v>59.387</v>
      </c>
      <c r="D19" s="25">
        <v>61.625999999999998</v>
      </c>
      <c r="E19" s="25">
        <v>65.330500000000001</v>
      </c>
      <c r="F19" s="25">
        <v>41.48</v>
      </c>
    </row>
    <row r="20" spans="2:6" ht="15" thickTop="1" x14ac:dyDescent="0.3"/>
  </sheetData>
  <mergeCells count="8">
    <mergeCell ref="C2:C3"/>
    <mergeCell ref="D2:D3"/>
    <mergeCell ref="E2:E3"/>
    <mergeCell ref="F2:F3"/>
    <mergeCell ref="C7:C8"/>
    <mergeCell ref="D7:D8"/>
    <mergeCell ref="E7:E8"/>
    <mergeCell ref="F7:F8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2F6C-953C-4E43-B0A5-81F8E2354CB4}">
  <dimension ref="B2:I16"/>
  <sheetViews>
    <sheetView workbookViewId="0">
      <selection activeCell="I13" sqref="I13"/>
    </sheetView>
  </sheetViews>
  <sheetFormatPr defaultRowHeight="14.4" x14ac:dyDescent="0.3"/>
  <cols>
    <col min="3" max="9" width="27.5546875" customWidth="1"/>
  </cols>
  <sheetData>
    <row r="2" spans="2:9" s="1" customFormat="1" ht="109.2" customHeight="1" x14ac:dyDescent="0.3"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 t="s">
        <v>62</v>
      </c>
      <c r="I2" s="27" t="s">
        <v>63</v>
      </c>
    </row>
    <row r="3" spans="2:9" x14ac:dyDescent="0.3">
      <c r="B3">
        <v>2021</v>
      </c>
      <c r="C3">
        <v>19.553100000000001</v>
      </c>
      <c r="D3">
        <v>12.6584</v>
      </c>
      <c r="E3">
        <v>14.8855</v>
      </c>
      <c r="F3">
        <v>32.896599999999999</v>
      </c>
      <c r="G3">
        <v>19.199000000000002</v>
      </c>
      <c r="H3">
        <v>73.354500000000002</v>
      </c>
      <c r="I3">
        <v>10.4095</v>
      </c>
    </row>
    <row r="5" spans="2:9" ht="120" customHeight="1" x14ac:dyDescent="0.3">
      <c r="B5" s="27"/>
      <c r="C5" s="27" t="s">
        <v>57</v>
      </c>
      <c r="D5" s="27" t="s">
        <v>58</v>
      </c>
      <c r="E5" s="27" t="s">
        <v>59</v>
      </c>
      <c r="F5" s="27" t="s">
        <v>60</v>
      </c>
      <c r="G5" s="27" t="s">
        <v>61</v>
      </c>
      <c r="H5" s="27" t="s">
        <v>62</v>
      </c>
      <c r="I5" s="27" t="s">
        <v>63</v>
      </c>
    </row>
    <row r="6" spans="2:9" x14ac:dyDescent="0.3">
      <c r="B6">
        <v>2023</v>
      </c>
      <c r="C6">
        <v>14.7464</v>
      </c>
      <c r="D6">
        <v>11.1706</v>
      </c>
      <c r="E6">
        <v>13.058</v>
      </c>
      <c r="F6">
        <v>32.362200000000001</v>
      </c>
      <c r="G6">
        <v>15.651999999999999</v>
      </c>
      <c r="H6">
        <v>66.018000000000001</v>
      </c>
      <c r="I6">
        <v>6.2460000000000004</v>
      </c>
    </row>
    <row r="8" spans="2:9" ht="91.8" customHeight="1" x14ac:dyDescent="0.3">
      <c r="C8" s="27" t="s">
        <v>57</v>
      </c>
      <c r="D8" s="27" t="s">
        <v>58</v>
      </c>
      <c r="E8" s="27" t="s">
        <v>59</v>
      </c>
      <c r="F8" s="27" t="s">
        <v>64</v>
      </c>
      <c r="G8" s="27" t="s">
        <v>61</v>
      </c>
      <c r="H8" s="27" t="s">
        <v>62</v>
      </c>
      <c r="I8" s="27" t="s">
        <v>63</v>
      </c>
    </row>
    <row r="9" spans="2:9" x14ac:dyDescent="0.3">
      <c r="B9">
        <v>2024</v>
      </c>
      <c r="C9">
        <v>21.823799999999999</v>
      </c>
      <c r="D9">
        <v>15.626899999999999</v>
      </c>
      <c r="E9">
        <v>19.805700000000002</v>
      </c>
      <c r="F9">
        <v>32.731200000000001</v>
      </c>
      <c r="G9">
        <v>20.209599999999998</v>
      </c>
      <c r="H9">
        <v>62.810400000000001</v>
      </c>
      <c r="I9">
        <v>9.3269000000000002</v>
      </c>
    </row>
    <row r="12" spans="2:9" x14ac:dyDescent="0.3"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</row>
    <row r="13" spans="2:9" x14ac:dyDescent="0.3">
      <c r="B13" t="s">
        <v>41</v>
      </c>
      <c r="C13" t="s">
        <v>78</v>
      </c>
      <c r="D13" t="s">
        <v>65</v>
      </c>
      <c r="E13" t="s">
        <v>66</v>
      </c>
      <c r="F13" t="s">
        <v>79</v>
      </c>
      <c r="G13" t="s">
        <v>67</v>
      </c>
      <c r="H13" t="s">
        <v>68</v>
      </c>
      <c r="I13" t="s">
        <v>87</v>
      </c>
    </row>
    <row r="14" spans="2:9" x14ac:dyDescent="0.3">
      <c r="B14">
        <v>2021</v>
      </c>
      <c r="C14">
        <v>19.553100000000001</v>
      </c>
      <c r="D14">
        <v>12.6584</v>
      </c>
      <c r="E14">
        <v>14.8855</v>
      </c>
      <c r="F14">
        <v>32.896599999999999</v>
      </c>
      <c r="G14">
        <v>19.199000000000002</v>
      </c>
      <c r="H14">
        <v>73.354500000000002</v>
      </c>
      <c r="I14">
        <v>10.4095</v>
      </c>
    </row>
    <row r="15" spans="2:9" x14ac:dyDescent="0.3">
      <c r="B15">
        <v>2023</v>
      </c>
      <c r="C15">
        <v>14.7464</v>
      </c>
      <c r="D15">
        <v>11.1706</v>
      </c>
      <c r="E15">
        <v>13.058</v>
      </c>
      <c r="F15">
        <v>32.362200000000001</v>
      </c>
      <c r="G15">
        <v>15.651999999999999</v>
      </c>
      <c r="H15">
        <v>66.018000000000001</v>
      </c>
      <c r="I15">
        <v>6.2460000000000004</v>
      </c>
    </row>
    <row r="16" spans="2:9" x14ac:dyDescent="0.3">
      <c r="B16">
        <v>2024</v>
      </c>
      <c r="C16">
        <v>21.823799999999999</v>
      </c>
      <c r="D16">
        <v>15.626899999999999</v>
      </c>
      <c r="E16">
        <v>19.805700000000002</v>
      </c>
      <c r="F16">
        <v>32.731200000000001</v>
      </c>
      <c r="G16">
        <v>20.209599999999998</v>
      </c>
      <c r="H16">
        <v>62.810400000000001</v>
      </c>
      <c r="I16">
        <v>9.3269000000000002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B2DB-7F68-407B-BB06-2027DF2491D4}">
  <dimension ref="B2:I17"/>
  <sheetViews>
    <sheetView topLeftCell="A9" workbookViewId="0">
      <selection activeCell="I14" sqref="I14"/>
    </sheetView>
  </sheetViews>
  <sheetFormatPr defaultRowHeight="14.4" x14ac:dyDescent="0.3"/>
  <cols>
    <col min="3" max="9" width="24.44140625" customWidth="1"/>
  </cols>
  <sheetData>
    <row r="2" spans="2:9" ht="46.2" customHeight="1" x14ac:dyDescent="0.3">
      <c r="C2" s="27" t="s">
        <v>69</v>
      </c>
      <c r="D2" s="27" t="s">
        <v>70</v>
      </c>
      <c r="E2" s="27" t="s">
        <v>71</v>
      </c>
      <c r="F2" s="27" t="s">
        <v>72</v>
      </c>
      <c r="G2" s="27" t="s">
        <v>73</v>
      </c>
      <c r="H2" s="27" t="s">
        <v>74</v>
      </c>
      <c r="I2" s="27" t="s">
        <v>75</v>
      </c>
    </row>
    <row r="3" spans="2:9" x14ac:dyDescent="0.3">
      <c r="B3">
        <v>2021</v>
      </c>
      <c r="C3">
        <v>40.991999999999997</v>
      </c>
      <c r="D3">
        <v>29.309899999999999</v>
      </c>
      <c r="E3">
        <v>37.712000000000003</v>
      </c>
      <c r="F3">
        <v>39.208599999999997</v>
      </c>
      <c r="G3">
        <v>33.3142</v>
      </c>
      <c r="H3">
        <v>46.938600000000001</v>
      </c>
      <c r="I3">
        <v>32.044400000000003</v>
      </c>
    </row>
    <row r="5" spans="2:9" ht="43.2" x14ac:dyDescent="0.3">
      <c r="C5" s="27" t="s">
        <v>69</v>
      </c>
      <c r="D5" s="27" t="s">
        <v>70</v>
      </c>
      <c r="E5" s="27" t="s">
        <v>71</v>
      </c>
      <c r="F5" s="27" t="s">
        <v>72</v>
      </c>
      <c r="G5" s="27" t="s">
        <v>73</v>
      </c>
      <c r="H5" s="27" t="s">
        <v>74</v>
      </c>
      <c r="I5" s="27" t="s">
        <v>75</v>
      </c>
    </row>
    <row r="6" spans="2:9" x14ac:dyDescent="0.3">
      <c r="B6">
        <v>2023</v>
      </c>
      <c r="C6">
        <v>47.075000000000003</v>
      </c>
      <c r="D6">
        <v>31.736999999999998</v>
      </c>
      <c r="E6">
        <v>36.712000000000003</v>
      </c>
      <c r="F6">
        <v>38.590000000000003</v>
      </c>
      <c r="G6">
        <v>32.371000000000002</v>
      </c>
      <c r="H6">
        <v>43.23</v>
      </c>
      <c r="I6">
        <v>34.42</v>
      </c>
    </row>
    <row r="9" spans="2:9" ht="43.2" x14ac:dyDescent="0.3">
      <c r="C9" s="27" t="s">
        <v>69</v>
      </c>
      <c r="D9" s="27" t="s">
        <v>70</v>
      </c>
      <c r="E9" s="27" t="s">
        <v>71</v>
      </c>
      <c r="F9" s="27" t="s">
        <v>72</v>
      </c>
      <c r="G9" s="27" t="s">
        <v>73</v>
      </c>
      <c r="H9" s="27" t="s">
        <v>74</v>
      </c>
      <c r="I9" s="27" t="s">
        <v>75</v>
      </c>
    </row>
    <row r="10" spans="2:9" x14ac:dyDescent="0.3">
      <c r="B10">
        <v>2024</v>
      </c>
      <c r="C10">
        <v>36.500900000000001</v>
      </c>
      <c r="D10">
        <v>24.133099999999999</v>
      </c>
      <c r="E10">
        <v>33.315199999999997</v>
      </c>
      <c r="F10">
        <v>34.617699999999999</v>
      </c>
      <c r="G10">
        <v>23.949400000000001</v>
      </c>
      <c r="H10">
        <v>35.678600000000003</v>
      </c>
      <c r="I10">
        <v>27.588999999999999</v>
      </c>
    </row>
    <row r="14" spans="2:9" x14ac:dyDescent="0.3">
      <c r="B14" t="s">
        <v>41</v>
      </c>
      <c r="C14" s="27" t="s">
        <v>69</v>
      </c>
      <c r="D14" t="s">
        <v>70</v>
      </c>
      <c r="E14" t="s">
        <v>76</v>
      </c>
      <c r="F14" t="s">
        <v>72</v>
      </c>
      <c r="G14" t="s">
        <v>73</v>
      </c>
      <c r="H14" t="s">
        <v>74</v>
      </c>
      <c r="I14" t="s">
        <v>77</v>
      </c>
    </row>
    <row r="15" spans="2:9" x14ac:dyDescent="0.3">
      <c r="B15">
        <v>2021</v>
      </c>
      <c r="C15">
        <v>40.991999999999997</v>
      </c>
      <c r="D15">
        <v>29.309899999999999</v>
      </c>
      <c r="E15">
        <v>37.712000000000003</v>
      </c>
      <c r="F15">
        <v>39.208599999999997</v>
      </c>
      <c r="G15">
        <v>33.3142</v>
      </c>
      <c r="H15">
        <v>46.938600000000001</v>
      </c>
      <c r="I15">
        <v>32.044400000000003</v>
      </c>
    </row>
    <row r="16" spans="2:9" x14ac:dyDescent="0.3">
      <c r="B16">
        <v>2023</v>
      </c>
      <c r="C16">
        <v>47.075000000000003</v>
      </c>
      <c r="D16">
        <v>31.736999999999998</v>
      </c>
      <c r="E16">
        <v>36.712000000000003</v>
      </c>
      <c r="F16">
        <v>38.590000000000003</v>
      </c>
      <c r="G16">
        <v>32.371000000000002</v>
      </c>
      <c r="H16">
        <v>43.23</v>
      </c>
      <c r="I16">
        <v>34.42</v>
      </c>
    </row>
    <row r="17" spans="2:9" x14ac:dyDescent="0.3">
      <c r="B17">
        <v>2024</v>
      </c>
      <c r="C17">
        <v>36.500900000000001</v>
      </c>
      <c r="D17">
        <v>24.133099999999999</v>
      </c>
      <c r="E17">
        <v>33.315199999999997</v>
      </c>
      <c r="F17">
        <v>34.617699999999999</v>
      </c>
      <c r="G17">
        <v>23.949400000000001</v>
      </c>
      <c r="H17">
        <v>35.678600000000003</v>
      </c>
      <c r="I17">
        <v>27.588999999999999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80E9-A514-4713-934C-E88142F3208D}">
  <dimension ref="B2:K18"/>
  <sheetViews>
    <sheetView workbookViewId="0">
      <selection activeCell="F10" sqref="F10"/>
    </sheetView>
  </sheetViews>
  <sheetFormatPr defaultRowHeight="14.4" x14ac:dyDescent="0.3"/>
  <cols>
    <col min="3" max="11" width="23.33203125" customWidth="1"/>
  </cols>
  <sheetData>
    <row r="2" spans="2:11" ht="86.4" x14ac:dyDescent="0.3">
      <c r="C2" s="27" t="s">
        <v>99</v>
      </c>
      <c r="D2" s="27" t="s">
        <v>100</v>
      </c>
      <c r="E2" s="27" t="s">
        <v>101</v>
      </c>
      <c r="F2" s="27" t="s">
        <v>102</v>
      </c>
      <c r="G2" s="27" t="s">
        <v>103</v>
      </c>
      <c r="H2" s="27" t="s">
        <v>104</v>
      </c>
      <c r="I2" s="27" t="s">
        <v>105</v>
      </c>
      <c r="J2" s="27" t="s">
        <v>106</v>
      </c>
      <c r="K2" s="27" t="s">
        <v>107</v>
      </c>
    </row>
    <row r="3" spans="2:11" x14ac:dyDescent="0.3">
      <c r="B3">
        <v>2021</v>
      </c>
      <c r="C3">
        <v>15.922000000000001</v>
      </c>
      <c r="D3">
        <v>14.4838</v>
      </c>
      <c r="E3">
        <v>19.053899999999999</v>
      </c>
      <c r="F3">
        <v>14.096399999999999</v>
      </c>
      <c r="G3">
        <v>10.895200000000001</v>
      </c>
      <c r="H3">
        <v>9.4748000000000001</v>
      </c>
      <c r="I3">
        <v>6.7076000000000002</v>
      </c>
      <c r="J3">
        <v>18.400099999999998</v>
      </c>
      <c r="K3">
        <v>15.7257</v>
      </c>
    </row>
    <row r="6" spans="2:11" ht="86.4" x14ac:dyDescent="0.3">
      <c r="C6" s="27" t="s">
        <v>99</v>
      </c>
      <c r="D6" s="27" t="s">
        <v>100</v>
      </c>
      <c r="E6" s="27" t="s">
        <v>101</v>
      </c>
      <c r="F6" s="27" t="s">
        <v>102</v>
      </c>
      <c r="G6" s="27" t="s">
        <v>103</v>
      </c>
      <c r="H6" s="27" t="s">
        <v>104</v>
      </c>
      <c r="I6" s="27" t="s">
        <v>105</v>
      </c>
      <c r="J6" s="27" t="s">
        <v>106</v>
      </c>
      <c r="K6" s="27" t="s">
        <v>107</v>
      </c>
    </row>
    <row r="7" spans="2:11" x14ac:dyDescent="0.3">
      <c r="B7">
        <v>2023</v>
      </c>
      <c r="C7">
        <v>16.640599999999999</v>
      </c>
      <c r="D7">
        <v>16.869199999999999</v>
      </c>
      <c r="E7">
        <v>19.222899999999999</v>
      </c>
      <c r="F7">
        <v>15.586399999999999</v>
      </c>
      <c r="G7">
        <v>12.16</v>
      </c>
      <c r="H7">
        <v>12.2516</v>
      </c>
      <c r="I7">
        <v>9.2576999999999998</v>
      </c>
      <c r="J7">
        <v>16.583300000000001</v>
      </c>
      <c r="K7">
        <v>17.5092</v>
      </c>
    </row>
    <row r="10" spans="2:11" ht="86.4" x14ac:dyDescent="0.3">
      <c r="C10" s="27" t="s">
        <v>99</v>
      </c>
      <c r="D10" s="27" t="s">
        <v>100</v>
      </c>
      <c r="E10" s="27" t="s">
        <v>101</v>
      </c>
      <c r="F10" s="27" t="s">
        <v>102</v>
      </c>
      <c r="G10" s="27" t="s">
        <v>103</v>
      </c>
      <c r="H10" s="27" t="s">
        <v>104</v>
      </c>
      <c r="I10" s="27" t="s">
        <v>105</v>
      </c>
      <c r="J10" s="27" t="s">
        <v>106</v>
      </c>
      <c r="K10" s="27" t="s">
        <v>107</v>
      </c>
    </row>
    <row r="11" spans="2:11" x14ac:dyDescent="0.3">
      <c r="B11">
        <v>2024</v>
      </c>
      <c r="C11">
        <v>15.367000000000001</v>
      </c>
      <c r="D11">
        <v>13.963800000000001</v>
      </c>
      <c r="E11">
        <v>13.648</v>
      </c>
      <c r="F11">
        <v>10.592599999999999</v>
      </c>
      <c r="G11">
        <v>10.1325</v>
      </c>
      <c r="H11">
        <v>9.7080000000000002</v>
      </c>
      <c r="I11">
        <v>6.1516999999999999</v>
      </c>
      <c r="J11">
        <v>14.564399999999999</v>
      </c>
      <c r="K11">
        <v>14.2166</v>
      </c>
    </row>
    <row r="15" spans="2:11" x14ac:dyDescent="0.3">
      <c r="B15" t="s">
        <v>41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116</v>
      </c>
      <c r="K15" t="s">
        <v>115</v>
      </c>
    </row>
    <row r="16" spans="2:11" x14ac:dyDescent="0.3">
      <c r="B16">
        <v>2021</v>
      </c>
      <c r="C16">
        <v>15.922000000000001</v>
      </c>
      <c r="D16">
        <v>14.4838</v>
      </c>
      <c r="E16">
        <v>19.053899999999999</v>
      </c>
      <c r="F16">
        <v>14.096399999999999</v>
      </c>
      <c r="G16">
        <v>10.895200000000001</v>
      </c>
      <c r="H16">
        <v>9.4748000000000001</v>
      </c>
      <c r="I16">
        <v>6.7076000000000002</v>
      </c>
      <c r="J16">
        <v>18.400099999999998</v>
      </c>
      <c r="K16">
        <v>15.7257</v>
      </c>
    </row>
    <row r="17" spans="2:11" x14ac:dyDescent="0.3">
      <c r="B17">
        <v>2023</v>
      </c>
      <c r="C17">
        <v>16.640599999999999</v>
      </c>
      <c r="D17">
        <v>16.869199999999999</v>
      </c>
      <c r="E17">
        <v>19.222899999999999</v>
      </c>
      <c r="F17">
        <v>15.586399999999999</v>
      </c>
      <c r="G17">
        <v>12.16</v>
      </c>
      <c r="H17">
        <v>12.2516</v>
      </c>
      <c r="I17">
        <v>9.2576999999999998</v>
      </c>
      <c r="J17">
        <v>16.583300000000001</v>
      </c>
      <c r="K17">
        <v>17.5092</v>
      </c>
    </row>
    <row r="18" spans="2:11" x14ac:dyDescent="0.3">
      <c r="B18">
        <v>2024</v>
      </c>
      <c r="C18">
        <v>15.367000000000001</v>
      </c>
      <c r="D18">
        <v>13.963800000000001</v>
      </c>
      <c r="E18">
        <v>13.648</v>
      </c>
      <c r="F18">
        <v>10.592599999999999</v>
      </c>
      <c r="G18">
        <v>10.1325</v>
      </c>
      <c r="H18">
        <v>9.7080000000000002</v>
      </c>
      <c r="I18">
        <v>6.1516999999999999</v>
      </c>
      <c r="J18">
        <v>14.564399999999999</v>
      </c>
      <c r="K18">
        <v>14.2166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Variáveis</vt:lpstr>
      <vt:lpstr>Planilha2</vt:lpstr>
      <vt:lpstr>A1A</vt:lpstr>
      <vt:lpstr>IOT</vt:lpstr>
      <vt:lpstr>Robos</vt:lpstr>
      <vt:lpstr>Bigdata</vt:lpstr>
      <vt:lpstr>IA tipo</vt:lpstr>
      <vt:lpstr>IA aplicação</vt:lpstr>
      <vt:lpstr>NÃO 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HD3401</dc:creator>
  <cp:lastModifiedBy>Joao Luiz Vianna</cp:lastModifiedBy>
  <dcterms:created xsi:type="dcterms:W3CDTF">2026-01-10T15:19:33Z</dcterms:created>
  <dcterms:modified xsi:type="dcterms:W3CDTF">2026-02-02T12:13:58Z</dcterms:modified>
</cp:coreProperties>
</file>