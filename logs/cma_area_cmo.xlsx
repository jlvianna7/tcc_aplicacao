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tcc_aplicacao\logs\"/>
    </mc:Choice>
  </mc:AlternateContent>
  <xr:revisionPtr revIDLastSave="0" documentId="13_ncr:1_{EE98D0AE-C70E-4D36-93B3-4E6D370250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al" sheetId="2" r:id="rId1"/>
    <sheet name="não tem_cmo" sheetId="7" r:id="rId2"/>
    <sheet name="tem_cmo" sheetId="4" r:id="rId3"/>
    <sheet name="em progresso" sheetId="6" r:id="rId4"/>
    <sheet name="em+em_progresso" sheetId="8" r:id="rId5"/>
  </sheets>
  <definedNames>
    <definedName name="_xlnm._FilterDatabase" localSheetId="0" hidden="1">geral!$A$1:$B$114</definedName>
    <definedName name="_xlchart.v1.0" hidden="1">'não tem_cmo'!$D$15:$D$20</definedName>
    <definedName name="_xlchart.v1.1" hidden="1">'não tem_cmo'!$E$14</definedName>
    <definedName name="_xlchart.v1.10" hidden="1">'não tem_cmo'!#REF!</definedName>
    <definedName name="_xlchart.v1.11" hidden="1">'não tem_cmo'!$D$14:$D$17</definedName>
    <definedName name="_xlchart.v1.12" hidden="1">'não tem_cmo'!$E$14:$E$17</definedName>
    <definedName name="_xlchart.v1.2" hidden="1">'não tem_cmo'!$E$15:$E$20</definedName>
    <definedName name="_xlchart.v1.3" hidden="1">'não tem_cmo'!$F$14</definedName>
    <definedName name="_xlchart.v1.4" hidden="1">'não tem_cmo'!$F$15:$F$20</definedName>
    <definedName name="_xlchart.v1.5" hidden="1">'não tem_cmo'!#REF!</definedName>
    <definedName name="_xlchart.v1.6" hidden="1">'não tem_cmo'!$D$14:$D$17</definedName>
    <definedName name="_xlchart.v1.7" hidden="1">'não tem_cmo'!$E$14:$E$17</definedName>
    <definedName name="_xlchart.v1.8" hidden="1">'não tem_cmo'!$F$14</definedName>
    <definedName name="_xlchart.v1.9" hidden="1">'não tem_cmo'!$F$15:$F$20</definedName>
  </definedNames>
  <calcPr calcId="191029"/>
  <pivotCaches>
    <pivotCache cacheId="367" r:id="rId6"/>
    <pivotCache cacheId="371" r:id="rId7"/>
    <pivotCache cacheId="375" r:id="rId8"/>
    <pivotCache cacheId="37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7" l="1"/>
  <c r="F16" i="7"/>
  <c r="F17" i="7"/>
  <c r="F18" i="7"/>
  <c r="F19" i="7"/>
  <c r="F20" i="7"/>
  <c r="F21" i="7"/>
  <c r="F15" i="7"/>
  <c r="E22" i="7"/>
  <c r="E1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591342-994B-4B16-8949-AB43F3A5F841}" keepAlive="1" name="Consulta - avalia_cmo" description="Conexão com a consulta 'avalia_cmo' na pasta de trabalho." type="5" refreshedVersion="0" background="1">
    <dbPr connection="Provider=Microsoft.Mashup.OleDb.1;Data Source=$Workbook$;Location=avalia_cmo;Extended Properties=&quot;&quot;" command="SELECT * FROM [avalia_cmo]"/>
  </connection>
</connections>
</file>

<file path=xl/sharedStrings.xml><?xml version="1.0" encoding="utf-8"?>
<sst xmlns="http://schemas.openxmlformats.org/spreadsheetml/2006/main" count="580" uniqueCount="21">
  <si>
    <t>Área de vínculo do CMO</t>
  </si>
  <si>
    <t>RH</t>
  </si>
  <si>
    <t>Gestão Estratégica</t>
  </si>
  <si>
    <t>Nenhum</t>
  </si>
  <si>
    <t>Outro</t>
  </si>
  <si>
    <t>Qualidade e Melhoria de Processos</t>
  </si>
  <si>
    <t>TI</t>
  </si>
  <si>
    <t>Transformação Digital</t>
  </si>
  <si>
    <t>tem_cmo</t>
  </si>
  <si>
    <t>Não</t>
  </si>
  <si>
    <t>Em progresso</t>
  </si>
  <si>
    <t>Sim</t>
  </si>
  <si>
    <t>PMO</t>
  </si>
  <si>
    <t>Rótulos de Linha</t>
  </si>
  <si>
    <t>Total Geral</t>
  </si>
  <si>
    <t>Contagem de tem_cmo</t>
  </si>
  <si>
    <t>Área</t>
  </si>
  <si>
    <t>Nenhuma</t>
  </si>
  <si>
    <t>Proporção</t>
  </si>
  <si>
    <t>TI / Transformação Digital</t>
  </si>
  <si>
    <t>Outras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</si>
</sst>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/>
    <xf numFmtId="0" fontId="2" fillId="2" borderId="0" xfId="0" applyFont="1" applyFill="1"/>
    <xf numFmtId="0" fontId="0" fillId="3" borderId="0" xfId="0" applyFill="1"/>
    <xf numFmtId="0" fontId="0" fillId="0" borderId="0" xfId="0" pivotButton="1"/>
    <xf numFmtId="0" fontId="2" fillId="4" borderId="1" xfId="0" applyFont="1" applyFill="1" applyBorder="1"/>
    <xf numFmtId="0" fontId="0" fillId="0" borderId="0" xfId="0" applyAlignment="1">
      <alignment horizontal="left"/>
    </xf>
    <xf numFmtId="0" fontId="0" fillId="5" borderId="0" xfId="0" applyFill="1"/>
    <xf numFmtId="0" fontId="2" fillId="6" borderId="0" xfId="0" applyFont="1" applyFill="1"/>
    <xf numFmtId="0" fontId="0" fillId="7" borderId="0" xfId="0" applyFill="1"/>
    <xf numFmtId="9" fontId="0" fillId="0" borderId="0" xfId="1" applyFont="1"/>
    <xf numFmtId="9" fontId="0" fillId="0" borderId="0" xfId="0" applyNumberFormat="1"/>
    <xf numFmtId="9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'não tem_cmo'!$E$24</c:f>
              <c:strCache>
                <c:ptCount val="1"/>
                <c:pt idx="0">
                  <c:v>Proporção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'não tem_cmo'!$D$25:$D$31</c:f>
              <c:strCache>
                <c:ptCount val="7"/>
                <c:pt idx="0">
                  <c:v>Outras</c:v>
                </c:pt>
                <c:pt idx="1">
                  <c:v>Qualidade e Melhoria de Processos</c:v>
                </c:pt>
                <c:pt idx="2">
                  <c:v>Gestão Estratégica</c:v>
                </c:pt>
                <c:pt idx="3">
                  <c:v>Nenhuma</c:v>
                </c:pt>
                <c:pt idx="4">
                  <c:v>PMO</c:v>
                </c:pt>
                <c:pt idx="5">
                  <c:v>RH</c:v>
                </c:pt>
                <c:pt idx="6">
                  <c:v>TI / Transformação Digital</c:v>
                </c:pt>
              </c:strCache>
            </c:strRef>
          </c:cat>
          <c:val>
            <c:numRef>
              <c:f>'não tem_cmo'!$E$25:$E$31</c:f>
              <c:numCache>
                <c:formatCode>0%</c:formatCode>
                <c:ptCount val="7"/>
                <c:pt idx="0">
                  <c:v>6.0240963855421686E-2</c:v>
                </c:pt>
                <c:pt idx="1">
                  <c:v>7.2289156626506021E-2</c:v>
                </c:pt>
                <c:pt idx="2">
                  <c:v>8.4337349397590355E-2</c:v>
                </c:pt>
                <c:pt idx="3">
                  <c:v>0.14457831325301204</c:v>
                </c:pt>
                <c:pt idx="4">
                  <c:v>0.16867469879518071</c:v>
                </c:pt>
                <c:pt idx="5">
                  <c:v>0.18072289156626506</c:v>
                </c:pt>
                <c:pt idx="6">
                  <c:v>0.28915662650602408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E-4326-82E8-4E452C4BD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0579936"/>
        <c:axId val="770570336"/>
      </c:barChart>
      <c:catAx>
        <c:axId val="77057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70570336"/>
        <c:crosses val="autoZero"/>
        <c:auto val="1"/>
        <c:lblAlgn val="ctr"/>
        <c:lblOffset val="100"/>
        <c:noMultiLvlLbl val="0"/>
      </c:catAx>
      <c:valAx>
        <c:axId val="77057033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77057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4</xdr:row>
      <xdr:rowOff>147636</xdr:rowOff>
    </xdr:from>
    <xdr:to>
      <xdr:col>9</xdr:col>
      <xdr:colOff>400050</xdr:colOff>
      <xdr:row>23</xdr:row>
      <xdr:rowOff>171449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FA8B03-F3B2-31A0-6F05-707DFB380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árbara Cavalcanti" refreshedDate="46257.4424806713" createdVersion="8" refreshedVersion="8" minRefreshableVersion="3" recordCount="17" xr:uid="{AEFF3C8A-99E4-47F4-BAAD-799BEADC8847}">
  <cacheSource type="worksheet">
    <worksheetSource ref="A1:B18" sheet="tem_cmo"/>
  </cacheSource>
  <cacheFields count="2">
    <cacheField name="tem_cmo" numFmtId="0">
      <sharedItems/>
    </cacheField>
    <cacheField name="Área de vínculo do CMO" numFmtId="0">
      <sharedItems count="7">
        <s v="Outro"/>
        <s v="RH"/>
        <s v="Nenhum"/>
        <s v="TI"/>
        <s v="Gestão Estratégica"/>
        <s v="Qualidade e Melhoria de Processos"/>
        <s v="Transformação Digit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árbara Cavalcanti" refreshedDate="46257.443699884258" createdVersion="8" refreshedVersion="8" minRefreshableVersion="3" recordCount="13" xr:uid="{CFE80EF3-71A1-402F-AF84-C542E2FB7988}">
  <cacheSource type="worksheet">
    <worksheetSource ref="A1:B14" sheet="em progresso"/>
  </cacheSource>
  <cacheFields count="2">
    <cacheField name="tem_cmo" numFmtId="0">
      <sharedItems/>
    </cacheField>
    <cacheField name="Área de vínculo do CMO" numFmtId="0">
      <sharedItems count="5">
        <s v="RH"/>
        <s v="TI"/>
        <s v="Qualidade e Melhoria de Processos"/>
        <s v="PMO"/>
        <s v="Transformação Digit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árbara Cavalcanti" refreshedDate="46257.444932638886" createdVersion="8" refreshedVersion="8" minRefreshableVersion="3" recordCount="83" xr:uid="{E8953854-82C2-4497-B585-936C2C6156BA}">
  <cacheSource type="worksheet">
    <worksheetSource ref="A1:B84" sheet="não tem_cmo"/>
  </cacheSource>
  <cacheFields count="2">
    <cacheField name="tem_cmo" numFmtId="0">
      <sharedItems/>
    </cacheField>
    <cacheField name="Área de vínculo do CMO" numFmtId="0">
      <sharedItems count="8">
        <s v="Transformação Digital"/>
        <s v="RH"/>
        <s v="Nenhum"/>
        <s v="TI"/>
        <s v="Gestão Estratégica"/>
        <s v="PMO"/>
        <s v="Outro"/>
        <s v="Qualidade e Melhoria de Process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árbara Cavalcanti" refreshedDate="46257.448498726852" createdVersion="8" refreshedVersion="8" minRefreshableVersion="3" recordCount="30" xr:uid="{D80E4FC3-4AC8-4CEA-9DE5-05D15B99D89D}">
  <cacheSource type="worksheet">
    <worksheetSource ref="A1:B31" sheet="em+em_progresso"/>
  </cacheSource>
  <cacheFields count="2">
    <cacheField name="tem_cmo" numFmtId="0">
      <sharedItems/>
    </cacheField>
    <cacheField name="Área de vínculo do CMO" numFmtId="0">
      <sharedItems count="8">
        <s v="RH"/>
        <s v="Outro"/>
        <s v="TI"/>
        <s v="Nenhum"/>
        <s v="Qualidade e Melhoria de Processos"/>
        <s v="PMO"/>
        <s v="Gestão Estratégica"/>
        <s v="Transformação Digit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Sim"/>
    <x v="0"/>
  </r>
  <r>
    <s v="Sim"/>
    <x v="1"/>
  </r>
  <r>
    <s v="Sim"/>
    <x v="2"/>
  </r>
  <r>
    <s v="Sim"/>
    <x v="1"/>
  </r>
  <r>
    <s v="Sim"/>
    <x v="3"/>
  </r>
  <r>
    <s v="Sim"/>
    <x v="2"/>
  </r>
  <r>
    <s v="Sim"/>
    <x v="3"/>
  </r>
  <r>
    <s v="Sim"/>
    <x v="4"/>
  </r>
  <r>
    <s v="Sim"/>
    <x v="1"/>
  </r>
  <r>
    <s v="Sim"/>
    <x v="1"/>
  </r>
  <r>
    <s v="Sim"/>
    <x v="5"/>
  </r>
  <r>
    <s v="Sim"/>
    <x v="5"/>
  </r>
  <r>
    <s v="Sim"/>
    <x v="6"/>
  </r>
  <r>
    <s v="Sim"/>
    <x v="4"/>
  </r>
  <r>
    <s v="Sim"/>
    <x v="4"/>
  </r>
  <r>
    <s v="Sim"/>
    <x v="1"/>
  </r>
  <r>
    <s v="Sim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Em progresso"/>
    <x v="0"/>
  </r>
  <r>
    <s v="Em progresso"/>
    <x v="1"/>
  </r>
  <r>
    <s v="Em progresso"/>
    <x v="1"/>
  </r>
  <r>
    <s v="Em progresso"/>
    <x v="2"/>
  </r>
  <r>
    <s v="Em progresso"/>
    <x v="3"/>
  </r>
  <r>
    <s v="Em progresso"/>
    <x v="0"/>
  </r>
  <r>
    <s v="Em progresso"/>
    <x v="1"/>
  </r>
  <r>
    <s v="Em progresso"/>
    <x v="4"/>
  </r>
  <r>
    <s v="Em progresso"/>
    <x v="0"/>
  </r>
  <r>
    <s v="Em progresso"/>
    <x v="2"/>
  </r>
  <r>
    <s v="Em progresso"/>
    <x v="0"/>
  </r>
  <r>
    <s v="Em progresso"/>
    <x v="2"/>
  </r>
  <r>
    <s v="Em progresso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Não"/>
    <x v="0"/>
  </r>
  <r>
    <s v="Não"/>
    <x v="1"/>
  </r>
  <r>
    <s v="Não"/>
    <x v="2"/>
  </r>
  <r>
    <s v="Não"/>
    <x v="3"/>
  </r>
  <r>
    <s v="Não"/>
    <x v="1"/>
  </r>
  <r>
    <s v="Não"/>
    <x v="2"/>
  </r>
  <r>
    <s v="Não"/>
    <x v="4"/>
  </r>
  <r>
    <s v="Não"/>
    <x v="3"/>
  </r>
  <r>
    <s v="Não"/>
    <x v="5"/>
  </r>
  <r>
    <s v="Não"/>
    <x v="6"/>
  </r>
  <r>
    <s v="Não"/>
    <x v="7"/>
  </r>
  <r>
    <s v="Não"/>
    <x v="7"/>
  </r>
  <r>
    <s v="Não"/>
    <x v="3"/>
  </r>
  <r>
    <s v="Não"/>
    <x v="5"/>
  </r>
  <r>
    <s v="Não"/>
    <x v="2"/>
  </r>
  <r>
    <s v="Não"/>
    <x v="5"/>
  </r>
  <r>
    <s v="Não"/>
    <x v="0"/>
  </r>
  <r>
    <s v="Não"/>
    <x v="1"/>
  </r>
  <r>
    <s v="Não"/>
    <x v="3"/>
  </r>
  <r>
    <s v="Não"/>
    <x v="5"/>
  </r>
  <r>
    <s v="Não"/>
    <x v="4"/>
  </r>
  <r>
    <s v="Não"/>
    <x v="3"/>
  </r>
  <r>
    <s v="Não"/>
    <x v="2"/>
  </r>
  <r>
    <s v="Não"/>
    <x v="7"/>
  </r>
  <r>
    <s v="Não"/>
    <x v="2"/>
  </r>
  <r>
    <s v="Não"/>
    <x v="2"/>
  </r>
  <r>
    <s v="Não"/>
    <x v="3"/>
  </r>
  <r>
    <s v="Não"/>
    <x v="2"/>
  </r>
  <r>
    <s v="Não"/>
    <x v="3"/>
  </r>
  <r>
    <s v="Não"/>
    <x v="1"/>
  </r>
  <r>
    <s v="Não"/>
    <x v="1"/>
  </r>
  <r>
    <s v="Não"/>
    <x v="0"/>
  </r>
  <r>
    <s v="Não"/>
    <x v="5"/>
  </r>
  <r>
    <s v="Não"/>
    <x v="3"/>
  </r>
  <r>
    <s v="Não"/>
    <x v="5"/>
  </r>
  <r>
    <s v="Não"/>
    <x v="4"/>
  </r>
  <r>
    <s v="Não"/>
    <x v="3"/>
  </r>
  <r>
    <s v="Não"/>
    <x v="1"/>
  </r>
  <r>
    <s v="Não"/>
    <x v="0"/>
  </r>
  <r>
    <s v="Não"/>
    <x v="1"/>
  </r>
  <r>
    <s v="Não"/>
    <x v="6"/>
  </r>
  <r>
    <s v="Não"/>
    <x v="5"/>
  </r>
  <r>
    <s v="Não"/>
    <x v="2"/>
  </r>
  <r>
    <s v="Não"/>
    <x v="1"/>
  </r>
  <r>
    <s v="Não"/>
    <x v="7"/>
  </r>
  <r>
    <s v="Não"/>
    <x v="7"/>
  </r>
  <r>
    <s v="Não"/>
    <x v="7"/>
  </r>
  <r>
    <s v="Não"/>
    <x v="2"/>
  </r>
  <r>
    <s v="Não"/>
    <x v="1"/>
  </r>
  <r>
    <s v="Não"/>
    <x v="1"/>
  </r>
  <r>
    <s v="Não"/>
    <x v="1"/>
  </r>
  <r>
    <s v="Não"/>
    <x v="3"/>
  </r>
  <r>
    <s v="Não"/>
    <x v="5"/>
  </r>
  <r>
    <s v="Não"/>
    <x v="4"/>
  </r>
  <r>
    <s v="Não"/>
    <x v="3"/>
  </r>
  <r>
    <s v="Não"/>
    <x v="1"/>
  </r>
  <r>
    <s v="Não"/>
    <x v="5"/>
  </r>
  <r>
    <s v="Não"/>
    <x v="1"/>
  </r>
  <r>
    <s v="Não"/>
    <x v="5"/>
  </r>
  <r>
    <s v="Não"/>
    <x v="4"/>
  </r>
  <r>
    <s v="Não"/>
    <x v="3"/>
  </r>
  <r>
    <s v="Não"/>
    <x v="6"/>
  </r>
  <r>
    <s v="Não"/>
    <x v="5"/>
  </r>
  <r>
    <s v="Não"/>
    <x v="3"/>
  </r>
  <r>
    <s v="Não"/>
    <x v="4"/>
  </r>
  <r>
    <s v="Não"/>
    <x v="1"/>
  </r>
  <r>
    <s v="Não"/>
    <x v="3"/>
  </r>
  <r>
    <s v="Não"/>
    <x v="2"/>
  </r>
  <r>
    <s v="Não"/>
    <x v="5"/>
  </r>
  <r>
    <s v="Não"/>
    <x v="1"/>
  </r>
  <r>
    <s v="Não"/>
    <x v="2"/>
  </r>
  <r>
    <s v="Não"/>
    <x v="5"/>
  </r>
  <r>
    <s v="Não"/>
    <x v="3"/>
  </r>
  <r>
    <s v="Não"/>
    <x v="0"/>
  </r>
  <r>
    <s v="Não"/>
    <x v="2"/>
  </r>
  <r>
    <s v="Não"/>
    <x v="6"/>
  </r>
  <r>
    <s v="Não"/>
    <x v="0"/>
  </r>
  <r>
    <s v="Não"/>
    <x v="6"/>
  </r>
  <r>
    <s v="Não"/>
    <x v="3"/>
  </r>
  <r>
    <s v="Não"/>
    <x v="4"/>
  </r>
  <r>
    <s v="Não"/>
    <x v="0"/>
  </r>
  <r>
    <s v="Não"/>
    <x v="5"/>
  </r>
  <r>
    <s v="Não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Em progresso"/>
    <x v="0"/>
  </r>
  <r>
    <s v="Sim"/>
    <x v="1"/>
  </r>
  <r>
    <s v="Sim"/>
    <x v="0"/>
  </r>
  <r>
    <s v="Em progresso"/>
    <x v="2"/>
  </r>
  <r>
    <s v="Em progresso"/>
    <x v="2"/>
  </r>
  <r>
    <s v="Sim"/>
    <x v="3"/>
  </r>
  <r>
    <s v="Em progresso"/>
    <x v="4"/>
  </r>
  <r>
    <s v="Sim"/>
    <x v="0"/>
  </r>
  <r>
    <s v="Sim"/>
    <x v="2"/>
  </r>
  <r>
    <s v="Sim"/>
    <x v="3"/>
  </r>
  <r>
    <s v="Em progresso"/>
    <x v="5"/>
  </r>
  <r>
    <s v="Em progresso"/>
    <x v="0"/>
  </r>
  <r>
    <s v="Sim"/>
    <x v="2"/>
  </r>
  <r>
    <s v="Em progresso"/>
    <x v="2"/>
  </r>
  <r>
    <s v="Sim"/>
    <x v="6"/>
  </r>
  <r>
    <s v="Sim"/>
    <x v="0"/>
  </r>
  <r>
    <s v="Sim"/>
    <x v="0"/>
  </r>
  <r>
    <s v="Sim"/>
    <x v="4"/>
  </r>
  <r>
    <s v="Sim"/>
    <x v="4"/>
  </r>
  <r>
    <s v="Sim"/>
    <x v="7"/>
  </r>
  <r>
    <s v="Em progresso"/>
    <x v="7"/>
  </r>
  <r>
    <s v="Sim"/>
    <x v="6"/>
  </r>
  <r>
    <s v="Em progresso"/>
    <x v="0"/>
  </r>
  <r>
    <s v="Sim"/>
    <x v="6"/>
  </r>
  <r>
    <s v="Sim"/>
    <x v="0"/>
  </r>
  <r>
    <s v="Em progresso"/>
    <x v="4"/>
  </r>
  <r>
    <s v="Sim"/>
    <x v="1"/>
  </r>
  <r>
    <s v="Em progresso"/>
    <x v="0"/>
  </r>
  <r>
    <s v="Em progresso"/>
    <x v="4"/>
  </r>
  <r>
    <s v="Em progresso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8418A-993E-461E-95CA-503FE70362D4}" name="Tabela dinâmica60" cacheId="3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:E11" firstHeaderRow="1" firstDataRow="1" firstDataCol="1"/>
  <pivotFields count="2">
    <pivotField dataField="1" showAll="0"/>
    <pivotField axis="axisRow" showAll="0" sortType="descending">
      <items count="9">
        <item x="4"/>
        <item x="2"/>
        <item x="6"/>
        <item x="5"/>
        <item x="7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9">
    <i>
      <x v="6"/>
    </i>
    <i>
      <x v="5"/>
    </i>
    <i>
      <x v="3"/>
    </i>
    <i>
      <x v="1"/>
    </i>
    <i>
      <x v="7"/>
    </i>
    <i>
      <x/>
    </i>
    <i>
      <x v="4"/>
    </i>
    <i>
      <x v="2"/>
    </i>
    <i t="grand">
      <x/>
    </i>
  </rowItems>
  <colItems count="1">
    <i/>
  </colItems>
  <dataFields count="1">
    <dataField name="Contagem de tem_cm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CE3C4-8FA7-4067-8243-3E8CB8FE5010}" name="Tabela dinâmica58" cacheId="3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B29" firstHeaderRow="1" firstDataRow="1" firstDataCol="1"/>
  <pivotFields count="2">
    <pivotField dataField="1" showAll="0"/>
    <pivotField axis="axisRow" showAll="0" sortType="descending">
      <items count="8">
        <item x="4"/>
        <item x="2"/>
        <item x="0"/>
        <item x="5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8">
    <i>
      <x v="4"/>
    </i>
    <i>
      <x/>
    </i>
    <i>
      <x v="5"/>
    </i>
    <i>
      <x v="1"/>
    </i>
    <i>
      <x v="2"/>
    </i>
    <i>
      <x v="3"/>
    </i>
    <i>
      <x v="6"/>
    </i>
    <i t="grand">
      <x/>
    </i>
  </rowItems>
  <colItems count="1">
    <i/>
  </colItems>
  <dataFields count="1">
    <dataField name="Contagem de tem_cmo" fld="0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03393-7B8B-4FD8-8B46-57EBB16A2BD9}" name="Tabela dinâmica59" cacheId="3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7:B23" firstHeaderRow="1" firstDataRow="1" firstDataCol="1"/>
  <pivotFields count="2">
    <pivotField dataField="1" showAl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Contagem de tem_cm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D2BA7-A12E-4792-98B3-3817E8CF3008}" name="Tabela dinâmica61" cacheId="3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3:B42" firstHeaderRow="1" firstDataRow="1" firstDataCol="1"/>
  <pivotFields count="2">
    <pivotField dataField="1" showAll="0"/>
    <pivotField axis="axisRow" showAll="0" sortType="descending">
      <items count="9">
        <item x="6"/>
        <item x="3"/>
        <item x="1"/>
        <item x="5"/>
        <item x="4"/>
        <item x="0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9">
    <i>
      <x v="5"/>
    </i>
    <i>
      <x v="6"/>
    </i>
    <i>
      <x v="4"/>
    </i>
    <i>
      <x/>
    </i>
    <i>
      <x v="1"/>
    </i>
    <i>
      <x v="7"/>
    </i>
    <i>
      <x v="2"/>
    </i>
    <i>
      <x v="3"/>
    </i>
    <i t="grand">
      <x/>
    </i>
  </rowItems>
  <colItems count="1">
    <i/>
  </colItems>
  <dataFields count="1">
    <dataField name="Contagem de tem_cmo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BCE0-7121-4CE5-A5A6-27059A2DBD9E}">
  <sheetPr filterMode="1"/>
  <dimension ref="A1:B114"/>
  <sheetViews>
    <sheetView tabSelected="1" workbookViewId="0">
      <selection activeCell="D77" sqref="D77"/>
    </sheetView>
  </sheetViews>
  <sheetFormatPr defaultColWidth="39.5703125" defaultRowHeight="15" x14ac:dyDescent="0.25"/>
  <cols>
    <col min="1" max="1" width="19" customWidth="1"/>
    <col min="3" max="3" width="14.140625" customWidth="1"/>
  </cols>
  <sheetData>
    <row r="1" spans="1:2" x14ac:dyDescent="0.25">
      <c r="A1" s="3" t="s">
        <v>8</v>
      </c>
      <c r="B1" s="3" t="s">
        <v>0</v>
      </c>
    </row>
    <row r="2" spans="1:2" hidden="1" x14ac:dyDescent="0.25">
      <c r="A2" t="s">
        <v>9</v>
      </c>
      <c r="B2" t="s">
        <v>7</v>
      </c>
    </row>
    <row r="3" spans="1:2" hidden="1" x14ac:dyDescent="0.25">
      <c r="A3" t="s">
        <v>9</v>
      </c>
      <c r="B3" t="s">
        <v>1</v>
      </c>
    </row>
    <row r="4" spans="1:2" hidden="1" x14ac:dyDescent="0.25">
      <c r="A4" t="s">
        <v>9</v>
      </c>
      <c r="B4" t="s">
        <v>3</v>
      </c>
    </row>
    <row r="5" spans="1:2" x14ac:dyDescent="0.25">
      <c r="A5" t="s">
        <v>10</v>
      </c>
      <c r="B5" t="s">
        <v>1</v>
      </c>
    </row>
    <row r="6" spans="1:2" hidden="1" x14ac:dyDescent="0.25">
      <c r="A6" t="s">
        <v>9</v>
      </c>
      <c r="B6" t="s">
        <v>6</v>
      </c>
    </row>
    <row r="7" spans="1:2" hidden="1" x14ac:dyDescent="0.25">
      <c r="A7" t="s">
        <v>9</v>
      </c>
      <c r="B7" t="s">
        <v>1</v>
      </c>
    </row>
    <row r="8" spans="1:2" hidden="1" x14ac:dyDescent="0.25">
      <c r="A8" t="s">
        <v>9</v>
      </c>
      <c r="B8" t="s">
        <v>3</v>
      </c>
    </row>
    <row r="9" spans="1:2" hidden="1" x14ac:dyDescent="0.25">
      <c r="A9" t="s">
        <v>9</v>
      </c>
      <c r="B9" t="s">
        <v>2</v>
      </c>
    </row>
    <row r="10" spans="1:2" x14ac:dyDescent="0.25">
      <c r="A10" t="s">
        <v>11</v>
      </c>
      <c r="B10" t="s">
        <v>4</v>
      </c>
    </row>
    <row r="11" spans="1:2" hidden="1" x14ac:dyDescent="0.25">
      <c r="A11" t="s">
        <v>9</v>
      </c>
      <c r="B11" t="s">
        <v>6</v>
      </c>
    </row>
    <row r="12" spans="1:2" hidden="1" x14ac:dyDescent="0.25">
      <c r="A12" t="s">
        <v>9</v>
      </c>
      <c r="B12" t="s">
        <v>12</v>
      </c>
    </row>
    <row r="13" spans="1:2" hidden="1" x14ac:dyDescent="0.25">
      <c r="A13" t="s">
        <v>9</v>
      </c>
      <c r="B13" t="s">
        <v>4</v>
      </c>
    </row>
    <row r="14" spans="1:2" hidden="1" x14ac:dyDescent="0.25">
      <c r="A14" t="s">
        <v>9</v>
      </c>
      <c r="B14" t="s">
        <v>5</v>
      </c>
    </row>
    <row r="15" spans="1:2" hidden="1" x14ac:dyDescent="0.25">
      <c r="A15" t="s">
        <v>9</v>
      </c>
      <c r="B15" t="s">
        <v>5</v>
      </c>
    </row>
    <row r="16" spans="1:2" x14ac:dyDescent="0.25">
      <c r="A16" t="s">
        <v>11</v>
      </c>
      <c r="B16" t="s">
        <v>1</v>
      </c>
    </row>
    <row r="17" spans="1:2" x14ac:dyDescent="0.25">
      <c r="A17" t="s">
        <v>10</v>
      </c>
      <c r="B17" t="s">
        <v>6</v>
      </c>
    </row>
    <row r="18" spans="1:2" hidden="1" x14ac:dyDescent="0.25">
      <c r="A18" t="s">
        <v>9</v>
      </c>
      <c r="B18" t="s">
        <v>6</v>
      </c>
    </row>
    <row r="19" spans="1:2" hidden="1" x14ac:dyDescent="0.25">
      <c r="A19" t="s">
        <v>9</v>
      </c>
      <c r="B19" t="s">
        <v>12</v>
      </c>
    </row>
    <row r="20" spans="1:2" hidden="1" x14ac:dyDescent="0.25">
      <c r="A20" t="s">
        <v>9</v>
      </c>
      <c r="B20" t="s">
        <v>3</v>
      </c>
    </row>
    <row r="21" spans="1:2" hidden="1" x14ac:dyDescent="0.25">
      <c r="A21" t="s">
        <v>9</v>
      </c>
      <c r="B21" t="s">
        <v>12</v>
      </c>
    </row>
    <row r="22" spans="1:2" hidden="1" x14ac:dyDescent="0.25">
      <c r="A22" t="s">
        <v>9</v>
      </c>
      <c r="B22" t="s">
        <v>7</v>
      </c>
    </row>
    <row r="23" spans="1:2" x14ac:dyDescent="0.25">
      <c r="A23" t="s">
        <v>10</v>
      </c>
      <c r="B23" t="s">
        <v>6</v>
      </c>
    </row>
    <row r="24" spans="1:2" hidden="1" x14ac:dyDescent="0.25">
      <c r="A24" t="s">
        <v>9</v>
      </c>
      <c r="B24" t="s">
        <v>1</v>
      </c>
    </row>
    <row r="25" spans="1:2" hidden="1" x14ac:dyDescent="0.25">
      <c r="A25" t="s">
        <v>9</v>
      </c>
      <c r="B25" t="s">
        <v>6</v>
      </c>
    </row>
    <row r="26" spans="1:2" hidden="1" x14ac:dyDescent="0.25">
      <c r="A26" t="s">
        <v>9</v>
      </c>
      <c r="B26" t="s">
        <v>12</v>
      </c>
    </row>
    <row r="27" spans="1:2" hidden="1" x14ac:dyDescent="0.25">
      <c r="A27" t="s">
        <v>9</v>
      </c>
      <c r="B27" t="s">
        <v>2</v>
      </c>
    </row>
    <row r="28" spans="1:2" hidden="1" x14ac:dyDescent="0.25">
      <c r="A28" t="s">
        <v>9</v>
      </c>
      <c r="B28" t="s">
        <v>6</v>
      </c>
    </row>
    <row r="29" spans="1:2" x14ac:dyDescent="0.25">
      <c r="A29" t="s">
        <v>11</v>
      </c>
      <c r="B29" t="s">
        <v>3</v>
      </c>
    </row>
    <row r="30" spans="1:2" x14ac:dyDescent="0.25">
      <c r="A30" t="s">
        <v>10</v>
      </c>
      <c r="B30" t="s">
        <v>5</v>
      </c>
    </row>
    <row r="31" spans="1:2" hidden="1" x14ac:dyDescent="0.25">
      <c r="A31" t="s">
        <v>9</v>
      </c>
      <c r="B31" t="s">
        <v>3</v>
      </c>
    </row>
    <row r="32" spans="1:2" hidden="1" x14ac:dyDescent="0.25">
      <c r="A32" t="s">
        <v>9</v>
      </c>
      <c r="B32" t="s">
        <v>5</v>
      </c>
    </row>
    <row r="33" spans="1:2" hidden="1" x14ac:dyDescent="0.25">
      <c r="A33" t="s">
        <v>9</v>
      </c>
      <c r="B33" t="s">
        <v>3</v>
      </c>
    </row>
    <row r="34" spans="1:2" x14ac:dyDescent="0.25">
      <c r="A34" t="s">
        <v>11</v>
      </c>
      <c r="B34" t="s">
        <v>1</v>
      </c>
    </row>
    <row r="35" spans="1:2" hidden="1" x14ac:dyDescent="0.25">
      <c r="A35" t="s">
        <v>9</v>
      </c>
      <c r="B35" t="s">
        <v>3</v>
      </c>
    </row>
    <row r="36" spans="1:2" x14ac:dyDescent="0.25">
      <c r="A36" t="s">
        <v>11</v>
      </c>
      <c r="B36" t="s">
        <v>6</v>
      </c>
    </row>
    <row r="37" spans="1:2" hidden="1" x14ac:dyDescent="0.25">
      <c r="A37" t="s">
        <v>9</v>
      </c>
      <c r="B37" t="s">
        <v>6</v>
      </c>
    </row>
    <row r="38" spans="1:2" hidden="1" x14ac:dyDescent="0.25">
      <c r="A38" t="s">
        <v>9</v>
      </c>
      <c r="B38" t="s">
        <v>3</v>
      </c>
    </row>
    <row r="39" spans="1:2" x14ac:dyDescent="0.25">
      <c r="A39" t="s">
        <v>11</v>
      </c>
      <c r="B39" t="s">
        <v>3</v>
      </c>
    </row>
    <row r="40" spans="1:2" x14ac:dyDescent="0.25">
      <c r="A40" t="s">
        <v>10</v>
      </c>
      <c r="B40" t="s">
        <v>12</v>
      </c>
    </row>
    <row r="41" spans="1:2" x14ac:dyDescent="0.25">
      <c r="A41" t="s">
        <v>10</v>
      </c>
      <c r="B41" t="s">
        <v>1</v>
      </c>
    </row>
    <row r="42" spans="1:2" hidden="1" x14ac:dyDescent="0.25">
      <c r="A42" t="s">
        <v>9</v>
      </c>
      <c r="B42" t="s">
        <v>6</v>
      </c>
    </row>
    <row r="43" spans="1:2" hidden="1" x14ac:dyDescent="0.25">
      <c r="A43" t="s">
        <v>9</v>
      </c>
      <c r="B43" t="s">
        <v>1</v>
      </c>
    </row>
    <row r="44" spans="1:2" hidden="1" x14ac:dyDescent="0.25">
      <c r="A44" t="s">
        <v>9</v>
      </c>
      <c r="B44" t="s">
        <v>1</v>
      </c>
    </row>
    <row r="45" spans="1:2" hidden="1" x14ac:dyDescent="0.25">
      <c r="A45" t="s">
        <v>9</v>
      </c>
      <c r="B45" t="s">
        <v>7</v>
      </c>
    </row>
    <row r="46" spans="1:2" hidden="1" x14ac:dyDescent="0.25">
      <c r="A46" t="s">
        <v>9</v>
      </c>
      <c r="B46" t="s">
        <v>12</v>
      </c>
    </row>
    <row r="47" spans="1:2" x14ac:dyDescent="0.25">
      <c r="A47" t="s">
        <v>11</v>
      </c>
      <c r="B47" t="s">
        <v>6</v>
      </c>
    </row>
    <row r="48" spans="1:2" hidden="1" x14ac:dyDescent="0.25">
      <c r="A48" t="s">
        <v>9</v>
      </c>
      <c r="B48" t="s">
        <v>6</v>
      </c>
    </row>
    <row r="49" spans="1:2" x14ac:dyDescent="0.25">
      <c r="A49" t="s">
        <v>10</v>
      </c>
      <c r="B49" t="s">
        <v>6</v>
      </c>
    </row>
    <row r="50" spans="1:2" hidden="1" x14ac:dyDescent="0.25">
      <c r="A50" t="s">
        <v>9</v>
      </c>
      <c r="B50" t="s">
        <v>12</v>
      </c>
    </row>
    <row r="51" spans="1:2" hidden="1" x14ac:dyDescent="0.25">
      <c r="A51" t="s">
        <v>9</v>
      </c>
      <c r="B51" t="s">
        <v>2</v>
      </c>
    </row>
    <row r="52" spans="1:2" hidden="1" x14ac:dyDescent="0.25">
      <c r="A52" t="s">
        <v>9</v>
      </c>
      <c r="B52" t="s">
        <v>6</v>
      </c>
    </row>
    <row r="53" spans="1:2" x14ac:dyDescent="0.25">
      <c r="A53" t="s">
        <v>11</v>
      </c>
      <c r="B53" t="s">
        <v>2</v>
      </c>
    </row>
    <row r="54" spans="1:2" hidden="1" x14ac:dyDescent="0.25">
      <c r="A54" t="s">
        <v>9</v>
      </c>
      <c r="B54" t="s">
        <v>1</v>
      </c>
    </row>
    <row r="55" spans="1:2" hidden="1" x14ac:dyDescent="0.25">
      <c r="A55" t="s">
        <v>9</v>
      </c>
      <c r="B55" t="s">
        <v>7</v>
      </c>
    </row>
    <row r="56" spans="1:2" hidden="1" x14ac:dyDescent="0.25">
      <c r="A56" t="s">
        <v>9</v>
      </c>
      <c r="B56" t="s">
        <v>1</v>
      </c>
    </row>
    <row r="57" spans="1:2" hidden="1" x14ac:dyDescent="0.25">
      <c r="A57" t="s">
        <v>9</v>
      </c>
      <c r="B57" t="s">
        <v>4</v>
      </c>
    </row>
    <row r="58" spans="1:2" hidden="1" x14ac:dyDescent="0.25">
      <c r="A58" t="s">
        <v>9</v>
      </c>
      <c r="B58" t="s">
        <v>12</v>
      </c>
    </row>
    <row r="59" spans="1:2" x14ac:dyDescent="0.25">
      <c r="A59" t="s">
        <v>11</v>
      </c>
      <c r="B59" t="s">
        <v>1</v>
      </c>
    </row>
    <row r="60" spans="1:2" hidden="1" x14ac:dyDescent="0.25">
      <c r="A60" t="s">
        <v>9</v>
      </c>
      <c r="B60" t="s">
        <v>3</v>
      </c>
    </row>
    <row r="61" spans="1:2" x14ac:dyDescent="0.25">
      <c r="A61" t="s">
        <v>11</v>
      </c>
      <c r="B61" t="s">
        <v>1</v>
      </c>
    </row>
    <row r="62" spans="1:2" hidden="1" x14ac:dyDescent="0.25">
      <c r="A62" t="s">
        <v>9</v>
      </c>
      <c r="B62" t="s">
        <v>1</v>
      </c>
    </row>
    <row r="63" spans="1:2" hidden="1" x14ac:dyDescent="0.25">
      <c r="A63" t="s">
        <v>9</v>
      </c>
      <c r="B63" t="s">
        <v>5</v>
      </c>
    </row>
    <row r="64" spans="1:2" hidden="1" x14ac:dyDescent="0.25">
      <c r="A64" t="s">
        <v>9</v>
      </c>
      <c r="B64" t="s">
        <v>5</v>
      </c>
    </row>
    <row r="65" spans="1:2" hidden="1" x14ac:dyDescent="0.25">
      <c r="A65" t="s">
        <v>9</v>
      </c>
      <c r="B65" t="s">
        <v>5</v>
      </c>
    </row>
    <row r="66" spans="1:2" x14ac:dyDescent="0.25">
      <c r="A66" t="s">
        <v>11</v>
      </c>
      <c r="B66" t="s">
        <v>5</v>
      </c>
    </row>
    <row r="67" spans="1:2" hidden="1" x14ac:dyDescent="0.25">
      <c r="A67" t="s">
        <v>9</v>
      </c>
      <c r="B67" t="s">
        <v>3</v>
      </c>
    </row>
    <row r="68" spans="1:2" hidden="1" x14ac:dyDescent="0.25">
      <c r="A68" t="s">
        <v>9</v>
      </c>
      <c r="B68" t="s">
        <v>1</v>
      </c>
    </row>
    <row r="69" spans="1:2" hidden="1" x14ac:dyDescent="0.25">
      <c r="A69" t="s">
        <v>9</v>
      </c>
      <c r="B69" t="s">
        <v>1</v>
      </c>
    </row>
    <row r="70" spans="1:2" x14ac:dyDescent="0.25">
      <c r="A70" t="s">
        <v>11</v>
      </c>
      <c r="B70" t="s">
        <v>5</v>
      </c>
    </row>
    <row r="71" spans="1:2" x14ac:dyDescent="0.25">
      <c r="A71" t="s">
        <v>11</v>
      </c>
      <c r="B71" t="s">
        <v>7</v>
      </c>
    </row>
    <row r="72" spans="1:2" hidden="1" x14ac:dyDescent="0.25">
      <c r="A72" t="s">
        <v>9</v>
      </c>
      <c r="B72" t="s">
        <v>1</v>
      </c>
    </row>
    <row r="73" spans="1:2" hidden="1" x14ac:dyDescent="0.25">
      <c r="A73" t="s">
        <v>9</v>
      </c>
      <c r="B73" t="s">
        <v>6</v>
      </c>
    </row>
    <row r="74" spans="1:2" hidden="1" x14ac:dyDescent="0.25">
      <c r="A74" t="s">
        <v>9</v>
      </c>
      <c r="B74" t="s">
        <v>12</v>
      </c>
    </row>
    <row r="75" spans="1:2" x14ac:dyDescent="0.25">
      <c r="A75" t="s">
        <v>10</v>
      </c>
      <c r="B75" t="s">
        <v>7</v>
      </c>
    </row>
    <row r="76" spans="1:2" hidden="1" x14ac:dyDescent="0.25">
      <c r="A76" t="s">
        <v>9</v>
      </c>
      <c r="B76" t="s">
        <v>2</v>
      </c>
    </row>
    <row r="77" spans="1:2" x14ac:dyDescent="0.25">
      <c r="A77" t="s">
        <v>11</v>
      </c>
      <c r="B77" t="s">
        <v>2</v>
      </c>
    </row>
    <row r="78" spans="1:2" hidden="1" x14ac:dyDescent="0.25">
      <c r="A78" t="s">
        <v>9</v>
      </c>
      <c r="B78" t="s">
        <v>6</v>
      </c>
    </row>
    <row r="79" spans="1:2" hidden="1" x14ac:dyDescent="0.25">
      <c r="A79" t="s">
        <v>9</v>
      </c>
      <c r="B79" t="s">
        <v>1</v>
      </c>
    </row>
    <row r="80" spans="1:2" hidden="1" x14ac:dyDescent="0.25">
      <c r="A80" t="s">
        <v>9</v>
      </c>
      <c r="B80" t="s">
        <v>12</v>
      </c>
    </row>
    <row r="81" spans="1:2" x14ac:dyDescent="0.25">
      <c r="A81" t="s">
        <v>10</v>
      </c>
      <c r="B81" t="s">
        <v>1</v>
      </c>
    </row>
    <row r="82" spans="1:2" hidden="1" x14ac:dyDescent="0.25">
      <c r="A82" t="s">
        <v>9</v>
      </c>
      <c r="B82" t="s">
        <v>1</v>
      </c>
    </row>
    <row r="83" spans="1:2" hidden="1" x14ac:dyDescent="0.25">
      <c r="A83" t="s">
        <v>9</v>
      </c>
      <c r="B83" t="s">
        <v>12</v>
      </c>
    </row>
    <row r="84" spans="1:2" x14ac:dyDescent="0.25">
      <c r="A84" t="s">
        <v>11</v>
      </c>
      <c r="B84" t="s">
        <v>2</v>
      </c>
    </row>
    <row r="85" spans="1:2" x14ac:dyDescent="0.25">
      <c r="A85" t="s">
        <v>11</v>
      </c>
      <c r="B85" t="s">
        <v>1</v>
      </c>
    </row>
    <row r="86" spans="1:2" hidden="1" x14ac:dyDescent="0.25">
      <c r="A86" t="s">
        <v>9</v>
      </c>
      <c r="B86" t="s">
        <v>2</v>
      </c>
    </row>
    <row r="87" spans="1:2" hidden="1" x14ac:dyDescent="0.25">
      <c r="A87" t="s">
        <v>9</v>
      </c>
      <c r="B87" t="s">
        <v>6</v>
      </c>
    </row>
    <row r="88" spans="1:2" hidden="1" x14ac:dyDescent="0.25">
      <c r="A88" t="s">
        <v>9</v>
      </c>
      <c r="B88" t="s">
        <v>4</v>
      </c>
    </row>
    <row r="89" spans="1:2" hidden="1" x14ac:dyDescent="0.25">
      <c r="A89" t="s">
        <v>9</v>
      </c>
      <c r="B89" t="s">
        <v>12</v>
      </c>
    </row>
    <row r="90" spans="1:2" hidden="1" x14ac:dyDescent="0.25">
      <c r="A90" t="s">
        <v>9</v>
      </c>
      <c r="B90" t="s">
        <v>6</v>
      </c>
    </row>
    <row r="91" spans="1:2" hidden="1" x14ac:dyDescent="0.25">
      <c r="A91" t="s">
        <v>9</v>
      </c>
      <c r="B91" t="s">
        <v>2</v>
      </c>
    </row>
    <row r="92" spans="1:2" hidden="1" x14ac:dyDescent="0.25">
      <c r="A92" t="s">
        <v>9</v>
      </c>
      <c r="B92" t="s">
        <v>1</v>
      </c>
    </row>
    <row r="93" spans="1:2" hidden="1" x14ac:dyDescent="0.25">
      <c r="A93" t="s">
        <v>9</v>
      </c>
      <c r="B93" t="s">
        <v>6</v>
      </c>
    </row>
    <row r="94" spans="1:2" hidden="1" x14ac:dyDescent="0.25">
      <c r="A94" t="s">
        <v>9</v>
      </c>
      <c r="B94" t="s">
        <v>3</v>
      </c>
    </row>
    <row r="95" spans="1:2" hidden="1" x14ac:dyDescent="0.25">
      <c r="A95" t="s">
        <v>9</v>
      </c>
      <c r="B95" t="s">
        <v>12</v>
      </c>
    </row>
    <row r="96" spans="1:2" x14ac:dyDescent="0.25">
      <c r="A96" t="s">
        <v>10</v>
      </c>
      <c r="B96" t="s">
        <v>5</v>
      </c>
    </row>
    <row r="97" spans="1:2" hidden="1" x14ac:dyDescent="0.25">
      <c r="A97" t="s">
        <v>9</v>
      </c>
      <c r="B97" t="s">
        <v>1</v>
      </c>
    </row>
    <row r="98" spans="1:2" x14ac:dyDescent="0.25">
      <c r="A98" t="s">
        <v>11</v>
      </c>
      <c r="B98" t="s">
        <v>4</v>
      </c>
    </row>
    <row r="99" spans="1:2" hidden="1" x14ac:dyDescent="0.25">
      <c r="A99" t="s">
        <v>9</v>
      </c>
      <c r="B99" t="s">
        <v>3</v>
      </c>
    </row>
    <row r="100" spans="1:2" hidden="1" x14ac:dyDescent="0.25">
      <c r="A100" t="s">
        <v>9</v>
      </c>
      <c r="B100" t="s">
        <v>12</v>
      </c>
    </row>
    <row r="101" spans="1:2" x14ac:dyDescent="0.25">
      <c r="A101" t="s">
        <v>10</v>
      </c>
      <c r="B101" t="s">
        <v>1</v>
      </c>
    </row>
    <row r="102" spans="1:2" hidden="1" x14ac:dyDescent="0.25">
      <c r="A102" t="s">
        <v>9</v>
      </c>
      <c r="B102" t="s">
        <v>6</v>
      </c>
    </row>
    <row r="103" spans="1:2" hidden="1" x14ac:dyDescent="0.25">
      <c r="A103" t="s">
        <v>9</v>
      </c>
      <c r="B103" t="s">
        <v>7</v>
      </c>
    </row>
    <row r="104" spans="1:2" hidden="1" x14ac:dyDescent="0.25">
      <c r="A104" t="s">
        <v>9</v>
      </c>
      <c r="B104" t="s">
        <v>3</v>
      </c>
    </row>
    <row r="105" spans="1:2" hidden="1" x14ac:dyDescent="0.25">
      <c r="A105" t="s">
        <v>9</v>
      </c>
      <c r="B105" t="s">
        <v>4</v>
      </c>
    </row>
    <row r="106" spans="1:2" hidden="1" x14ac:dyDescent="0.25">
      <c r="A106" t="s">
        <v>9</v>
      </c>
      <c r="B106" t="s">
        <v>7</v>
      </c>
    </row>
    <row r="107" spans="1:2" hidden="1" x14ac:dyDescent="0.25">
      <c r="A107" t="s">
        <v>9</v>
      </c>
      <c r="B107" t="s">
        <v>4</v>
      </c>
    </row>
    <row r="108" spans="1:2" hidden="1" x14ac:dyDescent="0.25">
      <c r="A108" t="s">
        <v>9</v>
      </c>
      <c r="B108" t="s">
        <v>6</v>
      </c>
    </row>
    <row r="109" spans="1:2" x14ac:dyDescent="0.25">
      <c r="A109" t="s">
        <v>10</v>
      </c>
      <c r="B109" t="s">
        <v>5</v>
      </c>
    </row>
    <row r="110" spans="1:2" hidden="1" x14ac:dyDescent="0.25">
      <c r="A110" t="s">
        <v>9</v>
      </c>
      <c r="B110" t="s">
        <v>2</v>
      </c>
    </row>
    <row r="111" spans="1:2" x14ac:dyDescent="0.25">
      <c r="A111" t="s">
        <v>10</v>
      </c>
      <c r="B111" t="s">
        <v>6</v>
      </c>
    </row>
    <row r="112" spans="1:2" hidden="1" x14ac:dyDescent="0.25">
      <c r="A112" t="s">
        <v>9</v>
      </c>
      <c r="B112" t="s">
        <v>7</v>
      </c>
    </row>
    <row r="113" spans="1:2" hidden="1" x14ac:dyDescent="0.25">
      <c r="A113" t="s">
        <v>9</v>
      </c>
      <c r="B113" t="s">
        <v>12</v>
      </c>
    </row>
    <row r="114" spans="1:2" hidden="1" x14ac:dyDescent="0.25">
      <c r="A114" t="s">
        <v>9</v>
      </c>
      <c r="B114" t="s">
        <v>7</v>
      </c>
    </row>
  </sheetData>
  <autoFilter ref="A1:B114" xr:uid="{4FC5BCE0-7121-4CE5-A5A6-27059A2DBD9E}">
    <filterColumn colId="0">
      <filters>
        <filter val="Em progresso"/>
        <filter val="Sim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A3C8-A5B7-4EAD-9EA2-29BA68DEAF66}">
  <dimension ref="A1:F84"/>
  <sheetViews>
    <sheetView topLeftCell="C1" workbookViewId="0">
      <selection activeCell="F31" sqref="F31"/>
    </sheetView>
  </sheetViews>
  <sheetFormatPr defaultColWidth="20" defaultRowHeight="15" x14ac:dyDescent="0.25"/>
  <cols>
    <col min="2" max="2" width="56.5703125" customWidth="1"/>
    <col min="4" max="4" width="32.7109375" bestFit="1" customWidth="1"/>
    <col min="5" max="5" width="21.85546875" bestFit="1" customWidth="1"/>
  </cols>
  <sheetData>
    <row r="1" spans="1:6" x14ac:dyDescent="0.25">
      <c r="A1" s="9" t="s">
        <v>8</v>
      </c>
      <c r="B1" s="9" t="s">
        <v>0</v>
      </c>
    </row>
    <row r="2" spans="1:6" x14ac:dyDescent="0.25">
      <c r="A2" t="s">
        <v>9</v>
      </c>
      <c r="B2" t="s">
        <v>7</v>
      </c>
      <c r="D2" s="5" t="s">
        <v>13</v>
      </c>
      <c r="E2" t="s">
        <v>15</v>
      </c>
    </row>
    <row r="3" spans="1:6" x14ac:dyDescent="0.25">
      <c r="A3" t="s">
        <v>9</v>
      </c>
      <c r="B3" t="s">
        <v>1</v>
      </c>
      <c r="D3" s="7" t="s">
        <v>6</v>
      </c>
      <c r="E3" s="2">
        <v>16</v>
      </c>
    </row>
    <row r="4" spans="1:6" x14ac:dyDescent="0.25">
      <c r="A4" t="s">
        <v>9</v>
      </c>
      <c r="B4" t="s">
        <v>3</v>
      </c>
      <c r="D4" s="7" t="s">
        <v>1</v>
      </c>
      <c r="E4" s="2">
        <v>15</v>
      </c>
    </row>
    <row r="5" spans="1:6" x14ac:dyDescent="0.25">
      <c r="A5" t="s">
        <v>9</v>
      </c>
      <c r="B5" t="s">
        <v>6</v>
      </c>
      <c r="D5" s="7" t="s">
        <v>12</v>
      </c>
      <c r="E5" s="2">
        <v>14</v>
      </c>
    </row>
    <row r="6" spans="1:6" x14ac:dyDescent="0.25">
      <c r="A6" t="s">
        <v>9</v>
      </c>
      <c r="B6" t="s">
        <v>1</v>
      </c>
      <c r="D6" s="7" t="s">
        <v>3</v>
      </c>
      <c r="E6" s="2">
        <v>12</v>
      </c>
    </row>
    <row r="7" spans="1:6" x14ac:dyDescent="0.25">
      <c r="A7" t="s">
        <v>9</v>
      </c>
      <c r="B7" t="s">
        <v>3</v>
      </c>
      <c r="D7" s="7" t="s">
        <v>7</v>
      </c>
      <c r="E7" s="2">
        <v>8</v>
      </c>
    </row>
    <row r="8" spans="1:6" x14ac:dyDescent="0.25">
      <c r="A8" t="s">
        <v>9</v>
      </c>
      <c r="B8" t="s">
        <v>2</v>
      </c>
      <c r="D8" s="7" t="s">
        <v>2</v>
      </c>
      <c r="E8" s="2">
        <v>7</v>
      </c>
    </row>
    <row r="9" spans="1:6" x14ac:dyDescent="0.25">
      <c r="A9" t="s">
        <v>9</v>
      </c>
      <c r="B9" t="s">
        <v>6</v>
      </c>
      <c r="D9" s="7" t="s">
        <v>5</v>
      </c>
      <c r="E9" s="2">
        <v>6</v>
      </c>
    </row>
    <row r="10" spans="1:6" x14ac:dyDescent="0.25">
      <c r="A10" t="s">
        <v>9</v>
      </c>
      <c r="B10" t="s">
        <v>12</v>
      </c>
      <c r="D10" s="7" t="s">
        <v>4</v>
      </c>
      <c r="E10" s="2">
        <v>5</v>
      </c>
    </row>
    <row r="11" spans="1:6" x14ac:dyDescent="0.25">
      <c r="A11" t="s">
        <v>9</v>
      </c>
      <c r="B11" t="s">
        <v>4</v>
      </c>
      <c r="D11" s="7" t="s">
        <v>14</v>
      </c>
      <c r="E11" s="2">
        <v>83</v>
      </c>
    </row>
    <row r="12" spans="1:6" x14ac:dyDescent="0.25">
      <c r="A12" t="s">
        <v>9</v>
      </c>
      <c r="B12" t="s">
        <v>5</v>
      </c>
    </row>
    <row r="13" spans="1:6" x14ac:dyDescent="0.25">
      <c r="A13" t="s">
        <v>9</v>
      </c>
      <c r="B13" t="s">
        <v>5</v>
      </c>
    </row>
    <row r="14" spans="1:6" x14ac:dyDescent="0.25">
      <c r="A14" t="s">
        <v>9</v>
      </c>
      <c r="B14" t="s">
        <v>6</v>
      </c>
      <c r="D14" s="6" t="s">
        <v>13</v>
      </c>
      <c r="E14" s="6" t="s">
        <v>15</v>
      </c>
    </row>
    <row r="15" spans="1:6" x14ac:dyDescent="0.25">
      <c r="A15" t="s">
        <v>9</v>
      </c>
      <c r="B15" t="s">
        <v>12</v>
      </c>
      <c r="D15" s="7" t="s">
        <v>6</v>
      </c>
      <c r="E15" s="2">
        <f>16+8</f>
        <v>24</v>
      </c>
      <c r="F15" s="13">
        <f>E15/$E$22</f>
        <v>0.28915662650602408</v>
      </c>
    </row>
    <row r="16" spans="1:6" x14ac:dyDescent="0.25">
      <c r="A16" t="s">
        <v>9</v>
      </c>
      <c r="B16" t="s">
        <v>3</v>
      </c>
      <c r="D16" s="7" t="s">
        <v>1</v>
      </c>
      <c r="E16" s="2">
        <v>15</v>
      </c>
      <c r="F16" s="13">
        <f t="shared" ref="F16:F21" si="0">E16/$E$22</f>
        <v>0.18072289156626506</v>
      </c>
    </row>
    <row r="17" spans="1:6" x14ac:dyDescent="0.25">
      <c r="A17" t="s">
        <v>9</v>
      </c>
      <c r="B17" t="s">
        <v>12</v>
      </c>
      <c r="D17" s="7" t="s">
        <v>12</v>
      </c>
      <c r="E17" s="2">
        <v>14</v>
      </c>
      <c r="F17" s="13">
        <f t="shared" si="0"/>
        <v>0.16867469879518071</v>
      </c>
    </row>
    <row r="18" spans="1:6" x14ac:dyDescent="0.25">
      <c r="A18" t="s">
        <v>9</v>
      </c>
      <c r="B18" t="s">
        <v>7</v>
      </c>
      <c r="D18" s="7" t="s">
        <v>3</v>
      </c>
      <c r="E18" s="2">
        <v>12</v>
      </c>
      <c r="F18" s="13">
        <f t="shared" si="0"/>
        <v>0.14457831325301204</v>
      </c>
    </row>
    <row r="19" spans="1:6" x14ac:dyDescent="0.25">
      <c r="A19" t="s">
        <v>9</v>
      </c>
      <c r="B19" t="s">
        <v>1</v>
      </c>
      <c r="D19" s="7" t="s">
        <v>2</v>
      </c>
      <c r="E19" s="2">
        <v>7</v>
      </c>
      <c r="F19" s="13">
        <f t="shared" si="0"/>
        <v>8.4337349397590355E-2</v>
      </c>
    </row>
    <row r="20" spans="1:6" x14ac:dyDescent="0.25">
      <c r="A20" t="s">
        <v>9</v>
      </c>
      <c r="B20" t="s">
        <v>6</v>
      </c>
      <c r="D20" s="7" t="s">
        <v>5</v>
      </c>
      <c r="E20" s="2">
        <v>6</v>
      </c>
      <c r="F20" s="13">
        <f t="shared" si="0"/>
        <v>7.2289156626506021E-2</v>
      </c>
    </row>
    <row r="21" spans="1:6" x14ac:dyDescent="0.25">
      <c r="A21" t="s">
        <v>9</v>
      </c>
      <c r="B21" t="s">
        <v>12</v>
      </c>
      <c r="D21" s="7" t="s">
        <v>4</v>
      </c>
      <c r="E21" s="2">
        <v>5</v>
      </c>
      <c r="F21" s="13">
        <f t="shared" si="0"/>
        <v>6.0240963855421686E-2</v>
      </c>
    </row>
    <row r="22" spans="1:6" x14ac:dyDescent="0.25">
      <c r="A22" t="s">
        <v>9</v>
      </c>
      <c r="B22" t="s">
        <v>2</v>
      </c>
      <c r="E22">
        <f>SUM(E15:E21)</f>
        <v>83</v>
      </c>
      <c r="F22" s="12">
        <f>SUM(F15:F21)</f>
        <v>0.99999999999999989</v>
      </c>
    </row>
    <row r="23" spans="1:6" x14ac:dyDescent="0.25">
      <c r="A23" t="s">
        <v>9</v>
      </c>
      <c r="B23" t="s">
        <v>6</v>
      </c>
    </row>
    <row r="24" spans="1:6" x14ac:dyDescent="0.25">
      <c r="A24" t="s">
        <v>9</v>
      </c>
      <c r="B24" t="s">
        <v>3</v>
      </c>
      <c r="D24" s="6" t="s">
        <v>16</v>
      </c>
      <c r="E24" s="1" t="s">
        <v>18</v>
      </c>
    </row>
    <row r="25" spans="1:6" x14ac:dyDescent="0.25">
      <c r="A25" t="s">
        <v>9</v>
      </c>
      <c r="B25" t="s">
        <v>5</v>
      </c>
      <c r="D25" s="7" t="s">
        <v>20</v>
      </c>
      <c r="E25" s="11">
        <v>6.0240963855421686E-2</v>
      </c>
    </row>
    <row r="26" spans="1:6" x14ac:dyDescent="0.25">
      <c r="A26" t="s">
        <v>9</v>
      </c>
      <c r="B26" t="s">
        <v>3</v>
      </c>
      <c r="D26" s="7" t="s">
        <v>5</v>
      </c>
      <c r="E26" s="11">
        <v>7.2289156626506021E-2</v>
      </c>
    </row>
    <row r="27" spans="1:6" x14ac:dyDescent="0.25">
      <c r="A27" t="s">
        <v>9</v>
      </c>
      <c r="B27" t="s">
        <v>3</v>
      </c>
      <c r="D27" s="7" t="s">
        <v>2</v>
      </c>
      <c r="E27" s="11">
        <v>8.4337349397590355E-2</v>
      </c>
    </row>
    <row r="28" spans="1:6" x14ac:dyDescent="0.25">
      <c r="A28" t="s">
        <v>9</v>
      </c>
      <c r="B28" t="s">
        <v>6</v>
      </c>
      <c r="D28" s="7" t="s">
        <v>17</v>
      </c>
      <c r="E28" s="11">
        <v>0.14457831325301204</v>
      </c>
    </row>
    <row r="29" spans="1:6" x14ac:dyDescent="0.25">
      <c r="A29" t="s">
        <v>9</v>
      </c>
      <c r="B29" t="s">
        <v>3</v>
      </c>
      <c r="D29" s="7" t="s">
        <v>12</v>
      </c>
      <c r="E29" s="11">
        <v>0.16867469879518071</v>
      </c>
    </row>
    <row r="30" spans="1:6" x14ac:dyDescent="0.25">
      <c r="A30" t="s">
        <v>9</v>
      </c>
      <c r="B30" t="s">
        <v>6</v>
      </c>
      <c r="D30" s="7" t="s">
        <v>1</v>
      </c>
      <c r="E30" s="11">
        <v>0.18072289156626506</v>
      </c>
    </row>
    <row r="31" spans="1:6" x14ac:dyDescent="0.25">
      <c r="A31" t="s">
        <v>9</v>
      </c>
      <c r="B31" t="s">
        <v>1</v>
      </c>
      <c r="D31" s="7" t="s">
        <v>19</v>
      </c>
      <c r="E31" s="11">
        <v>0.28915662650602408</v>
      </c>
    </row>
    <row r="32" spans="1:6" x14ac:dyDescent="0.25">
      <c r="A32" t="s">
        <v>9</v>
      </c>
      <c r="B32" t="s">
        <v>1</v>
      </c>
    </row>
    <row r="33" spans="1:2" x14ac:dyDescent="0.25">
      <c r="A33" t="s">
        <v>9</v>
      </c>
      <c r="B33" t="s">
        <v>7</v>
      </c>
    </row>
    <row r="34" spans="1:2" x14ac:dyDescent="0.25">
      <c r="A34" t="s">
        <v>9</v>
      </c>
      <c r="B34" t="s">
        <v>12</v>
      </c>
    </row>
    <row r="35" spans="1:2" x14ac:dyDescent="0.25">
      <c r="A35" t="s">
        <v>9</v>
      </c>
      <c r="B35" t="s">
        <v>6</v>
      </c>
    </row>
    <row r="36" spans="1:2" x14ac:dyDescent="0.25">
      <c r="A36" t="s">
        <v>9</v>
      </c>
      <c r="B36" t="s">
        <v>12</v>
      </c>
    </row>
    <row r="37" spans="1:2" x14ac:dyDescent="0.25">
      <c r="A37" t="s">
        <v>9</v>
      </c>
      <c r="B37" t="s">
        <v>2</v>
      </c>
    </row>
    <row r="38" spans="1:2" x14ac:dyDescent="0.25">
      <c r="A38" t="s">
        <v>9</v>
      </c>
      <c r="B38" t="s">
        <v>6</v>
      </c>
    </row>
    <row r="39" spans="1:2" x14ac:dyDescent="0.25">
      <c r="A39" t="s">
        <v>9</v>
      </c>
      <c r="B39" t="s">
        <v>1</v>
      </c>
    </row>
    <row r="40" spans="1:2" x14ac:dyDescent="0.25">
      <c r="A40" t="s">
        <v>9</v>
      </c>
      <c r="B40" t="s">
        <v>7</v>
      </c>
    </row>
    <row r="41" spans="1:2" x14ac:dyDescent="0.25">
      <c r="A41" t="s">
        <v>9</v>
      </c>
      <c r="B41" t="s">
        <v>1</v>
      </c>
    </row>
    <row r="42" spans="1:2" x14ac:dyDescent="0.25">
      <c r="A42" t="s">
        <v>9</v>
      </c>
      <c r="B42" t="s">
        <v>4</v>
      </c>
    </row>
    <row r="43" spans="1:2" x14ac:dyDescent="0.25">
      <c r="A43" t="s">
        <v>9</v>
      </c>
      <c r="B43" t="s">
        <v>12</v>
      </c>
    </row>
    <row r="44" spans="1:2" x14ac:dyDescent="0.25">
      <c r="A44" t="s">
        <v>9</v>
      </c>
      <c r="B44" t="s">
        <v>3</v>
      </c>
    </row>
    <row r="45" spans="1:2" x14ac:dyDescent="0.25">
      <c r="A45" t="s">
        <v>9</v>
      </c>
      <c r="B45" t="s">
        <v>1</v>
      </c>
    </row>
    <row r="46" spans="1:2" x14ac:dyDescent="0.25">
      <c r="A46" t="s">
        <v>9</v>
      </c>
      <c r="B46" t="s">
        <v>5</v>
      </c>
    </row>
    <row r="47" spans="1:2" x14ac:dyDescent="0.25">
      <c r="A47" t="s">
        <v>9</v>
      </c>
      <c r="B47" t="s">
        <v>5</v>
      </c>
    </row>
    <row r="48" spans="1:2" x14ac:dyDescent="0.25">
      <c r="A48" t="s">
        <v>9</v>
      </c>
      <c r="B48" t="s">
        <v>5</v>
      </c>
    </row>
    <row r="49" spans="1:2" x14ac:dyDescent="0.25">
      <c r="A49" t="s">
        <v>9</v>
      </c>
      <c r="B49" t="s">
        <v>3</v>
      </c>
    </row>
    <row r="50" spans="1:2" x14ac:dyDescent="0.25">
      <c r="A50" t="s">
        <v>9</v>
      </c>
      <c r="B50" t="s">
        <v>1</v>
      </c>
    </row>
    <row r="51" spans="1:2" x14ac:dyDescent="0.25">
      <c r="A51" t="s">
        <v>9</v>
      </c>
      <c r="B51" t="s">
        <v>1</v>
      </c>
    </row>
    <row r="52" spans="1:2" x14ac:dyDescent="0.25">
      <c r="A52" t="s">
        <v>9</v>
      </c>
      <c r="B52" t="s">
        <v>1</v>
      </c>
    </row>
    <row r="53" spans="1:2" x14ac:dyDescent="0.25">
      <c r="A53" t="s">
        <v>9</v>
      </c>
      <c r="B53" t="s">
        <v>6</v>
      </c>
    </row>
    <row r="54" spans="1:2" x14ac:dyDescent="0.25">
      <c r="A54" t="s">
        <v>9</v>
      </c>
      <c r="B54" t="s">
        <v>12</v>
      </c>
    </row>
    <row r="55" spans="1:2" x14ac:dyDescent="0.25">
      <c r="A55" t="s">
        <v>9</v>
      </c>
      <c r="B55" t="s">
        <v>2</v>
      </c>
    </row>
    <row r="56" spans="1:2" x14ac:dyDescent="0.25">
      <c r="A56" t="s">
        <v>9</v>
      </c>
      <c r="B56" t="s">
        <v>6</v>
      </c>
    </row>
    <row r="57" spans="1:2" x14ac:dyDescent="0.25">
      <c r="A57" t="s">
        <v>9</v>
      </c>
      <c r="B57" t="s">
        <v>1</v>
      </c>
    </row>
    <row r="58" spans="1:2" x14ac:dyDescent="0.25">
      <c r="A58" t="s">
        <v>9</v>
      </c>
      <c r="B58" t="s">
        <v>12</v>
      </c>
    </row>
    <row r="59" spans="1:2" x14ac:dyDescent="0.25">
      <c r="A59" t="s">
        <v>9</v>
      </c>
      <c r="B59" t="s">
        <v>1</v>
      </c>
    </row>
    <row r="60" spans="1:2" x14ac:dyDescent="0.25">
      <c r="A60" t="s">
        <v>9</v>
      </c>
      <c r="B60" t="s">
        <v>12</v>
      </c>
    </row>
    <row r="61" spans="1:2" x14ac:dyDescent="0.25">
      <c r="A61" t="s">
        <v>9</v>
      </c>
      <c r="B61" t="s">
        <v>2</v>
      </c>
    </row>
    <row r="62" spans="1:2" x14ac:dyDescent="0.25">
      <c r="A62" t="s">
        <v>9</v>
      </c>
      <c r="B62" t="s">
        <v>6</v>
      </c>
    </row>
    <row r="63" spans="1:2" x14ac:dyDescent="0.25">
      <c r="A63" t="s">
        <v>9</v>
      </c>
      <c r="B63" t="s">
        <v>4</v>
      </c>
    </row>
    <row r="64" spans="1:2" x14ac:dyDescent="0.25">
      <c r="A64" t="s">
        <v>9</v>
      </c>
      <c r="B64" t="s">
        <v>12</v>
      </c>
    </row>
    <row r="65" spans="1:2" x14ac:dyDescent="0.25">
      <c r="A65" t="s">
        <v>9</v>
      </c>
      <c r="B65" t="s">
        <v>6</v>
      </c>
    </row>
    <row r="66" spans="1:2" x14ac:dyDescent="0.25">
      <c r="A66" t="s">
        <v>9</v>
      </c>
      <c r="B66" t="s">
        <v>2</v>
      </c>
    </row>
    <row r="67" spans="1:2" x14ac:dyDescent="0.25">
      <c r="A67" t="s">
        <v>9</v>
      </c>
      <c r="B67" t="s">
        <v>1</v>
      </c>
    </row>
    <row r="68" spans="1:2" x14ac:dyDescent="0.25">
      <c r="A68" t="s">
        <v>9</v>
      </c>
      <c r="B68" t="s">
        <v>6</v>
      </c>
    </row>
    <row r="69" spans="1:2" x14ac:dyDescent="0.25">
      <c r="A69" t="s">
        <v>9</v>
      </c>
      <c r="B69" t="s">
        <v>3</v>
      </c>
    </row>
    <row r="70" spans="1:2" x14ac:dyDescent="0.25">
      <c r="A70" t="s">
        <v>9</v>
      </c>
      <c r="B70" t="s">
        <v>12</v>
      </c>
    </row>
    <row r="71" spans="1:2" x14ac:dyDescent="0.25">
      <c r="A71" t="s">
        <v>9</v>
      </c>
      <c r="B71" t="s">
        <v>1</v>
      </c>
    </row>
    <row r="72" spans="1:2" x14ac:dyDescent="0.25">
      <c r="A72" t="s">
        <v>9</v>
      </c>
      <c r="B72" t="s">
        <v>3</v>
      </c>
    </row>
    <row r="73" spans="1:2" x14ac:dyDescent="0.25">
      <c r="A73" t="s">
        <v>9</v>
      </c>
      <c r="B73" t="s">
        <v>12</v>
      </c>
    </row>
    <row r="74" spans="1:2" x14ac:dyDescent="0.25">
      <c r="A74" t="s">
        <v>9</v>
      </c>
      <c r="B74" t="s">
        <v>6</v>
      </c>
    </row>
    <row r="75" spans="1:2" x14ac:dyDescent="0.25">
      <c r="A75" t="s">
        <v>9</v>
      </c>
      <c r="B75" t="s">
        <v>7</v>
      </c>
    </row>
    <row r="76" spans="1:2" x14ac:dyDescent="0.25">
      <c r="A76" t="s">
        <v>9</v>
      </c>
      <c r="B76" t="s">
        <v>3</v>
      </c>
    </row>
    <row r="77" spans="1:2" x14ac:dyDescent="0.25">
      <c r="A77" t="s">
        <v>9</v>
      </c>
      <c r="B77" t="s">
        <v>4</v>
      </c>
    </row>
    <row r="78" spans="1:2" x14ac:dyDescent="0.25">
      <c r="A78" t="s">
        <v>9</v>
      </c>
      <c r="B78" t="s">
        <v>7</v>
      </c>
    </row>
    <row r="79" spans="1:2" x14ac:dyDescent="0.25">
      <c r="A79" t="s">
        <v>9</v>
      </c>
      <c r="B79" t="s">
        <v>4</v>
      </c>
    </row>
    <row r="80" spans="1:2" x14ac:dyDescent="0.25">
      <c r="A80" t="s">
        <v>9</v>
      </c>
      <c r="B80" t="s">
        <v>6</v>
      </c>
    </row>
    <row r="81" spans="1:2" x14ac:dyDescent="0.25">
      <c r="A81" t="s">
        <v>9</v>
      </c>
      <c r="B81" t="s">
        <v>2</v>
      </c>
    </row>
    <row r="82" spans="1:2" x14ac:dyDescent="0.25">
      <c r="A82" t="s">
        <v>9</v>
      </c>
      <c r="B82" t="s">
        <v>7</v>
      </c>
    </row>
    <row r="83" spans="1:2" x14ac:dyDescent="0.25">
      <c r="A83" t="s">
        <v>9</v>
      </c>
      <c r="B83" t="s">
        <v>12</v>
      </c>
    </row>
    <row r="84" spans="1:2" x14ac:dyDescent="0.25">
      <c r="A84" t="s">
        <v>9</v>
      </c>
      <c r="B84" t="s">
        <v>7</v>
      </c>
    </row>
  </sheetData>
  <sortState xmlns:xlrd2="http://schemas.microsoft.com/office/spreadsheetml/2017/richdata2" ref="D25:E31">
    <sortCondition ref="E25:E31"/>
  </sortState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C006-32CF-427C-93E1-C3F32BB1F11E}">
  <dimension ref="A1:B29"/>
  <sheetViews>
    <sheetView workbookViewId="0">
      <selection activeCell="I12" sqref="I12"/>
    </sheetView>
  </sheetViews>
  <sheetFormatPr defaultRowHeight="15" x14ac:dyDescent="0.25"/>
  <cols>
    <col min="1" max="1" width="32.7109375" bestFit="1" customWidth="1"/>
    <col min="2" max="2" width="21.85546875" bestFit="1" customWidth="1"/>
  </cols>
  <sheetData>
    <row r="1" spans="1:2" x14ac:dyDescent="0.25">
      <c r="A1" s="4" t="s">
        <v>8</v>
      </c>
      <c r="B1" s="4" t="s">
        <v>0</v>
      </c>
    </row>
    <row r="2" spans="1:2" x14ac:dyDescent="0.25">
      <c r="A2" t="s">
        <v>11</v>
      </c>
      <c r="B2" t="s">
        <v>4</v>
      </c>
    </row>
    <row r="3" spans="1:2" x14ac:dyDescent="0.25">
      <c r="A3" t="s">
        <v>11</v>
      </c>
      <c r="B3" t="s">
        <v>1</v>
      </c>
    </row>
    <row r="4" spans="1:2" x14ac:dyDescent="0.25">
      <c r="A4" t="s">
        <v>11</v>
      </c>
      <c r="B4" t="s">
        <v>3</v>
      </c>
    </row>
    <row r="5" spans="1:2" x14ac:dyDescent="0.25">
      <c r="A5" t="s">
        <v>11</v>
      </c>
      <c r="B5" t="s">
        <v>1</v>
      </c>
    </row>
    <row r="6" spans="1:2" x14ac:dyDescent="0.25">
      <c r="A6" t="s">
        <v>11</v>
      </c>
      <c r="B6" t="s">
        <v>6</v>
      </c>
    </row>
    <row r="7" spans="1:2" x14ac:dyDescent="0.25">
      <c r="A7" t="s">
        <v>11</v>
      </c>
      <c r="B7" t="s">
        <v>3</v>
      </c>
    </row>
    <row r="8" spans="1:2" x14ac:dyDescent="0.25">
      <c r="A8" t="s">
        <v>11</v>
      </c>
      <c r="B8" t="s">
        <v>6</v>
      </c>
    </row>
    <row r="9" spans="1:2" x14ac:dyDescent="0.25">
      <c r="A9" t="s">
        <v>11</v>
      </c>
      <c r="B9" t="s">
        <v>2</v>
      </c>
    </row>
    <row r="10" spans="1:2" x14ac:dyDescent="0.25">
      <c r="A10" t="s">
        <v>11</v>
      </c>
      <c r="B10" t="s">
        <v>1</v>
      </c>
    </row>
    <row r="11" spans="1:2" x14ac:dyDescent="0.25">
      <c r="A11" t="s">
        <v>11</v>
      </c>
      <c r="B11" t="s">
        <v>1</v>
      </c>
    </row>
    <row r="12" spans="1:2" x14ac:dyDescent="0.25">
      <c r="A12" t="s">
        <v>11</v>
      </c>
      <c r="B12" t="s">
        <v>5</v>
      </c>
    </row>
    <row r="13" spans="1:2" x14ac:dyDescent="0.25">
      <c r="A13" t="s">
        <v>11</v>
      </c>
      <c r="B13" t="s">
        <v>5</v>
      </c>
    </row>
    <row r="14" spans="1:2" x14ac:dyDescent="0.25">
      <c r="A14" t="s">
        <v>11</v>
      </c>
      <c r="B14" t="s">
        <v>7</v>
      </c>
    </row>
    <row r="15" spans="1:2" x14ac:dyDescent="0.25">
      <c r="A15" t="s">
        <v>11</v>
      </c>
      <c r="B15" t="s">
        <v>2</v>
      </c>
    </row>
    <row r="16" spans="1:2" x14ac:dyDescent="0.25">
      <c r="A16" t="s">
        <v>11</v>
      </c>
      <c r="B16" t="s">
        <v>2</v>
      </c>
    </row>
    <row r="17" spans="1:2" x14ac:dyDescent="0.25">
      <c r="A17" t="s">
        <v>11</v>
      </c>
      <c r="B17" t="s">
        <v>1</v>
      </c>
    </row>
    <row r="18" spans="1:2" x14ac:dyDescent="0.25">
      <c r="A18" t="s">
        <v>11</v>
      </c>
      <c r="B18" t="s">
        <v>4</v>
      </c>
    </row>
    <row r="21" spans="1:2" x14ac:dyDescent="0.25">
      <c r="A21" s="5" t="s">
        <v>13</v>
      </c>
      <c r="B21" t="s">
        <v>15</v>
      </c>
    </row>
    <row r="22" spans="1:2" x14ac:dyDescent="0.25">
      <c r="A22" s="7" t="s">
        <v>1</v>
      </c>
      <c r="B22" s="2">
        <v>5</v>
      </c>
    </row>
    <row r="23" spans="1:2" x14ac:dyDescent="0.25">
      <c r="A23" s="7" t="s">
        <v>2</v>
      </c>
      <c r="B23" s="2">
        <v>3</v>
      </c>
    </row>
    <row r="24" spans="1:2" x14ac:dyDescent="0.25">
      <c r="A24" s="7" t="s">
        <v>6</v>
      </c>
      <c r="B24" s="2">
        <v>2</v>
      </c>
    </row>
    <row r="25" spans="1:2" x14ac:dyDescent="0.25">
      <c r="A25" s="7" t="s">
        <v>3</v>
      </c>
      <c r="B25" s="2">
        <v>2</v>
      </c>
    </row>
    <row r="26" spans="1:2" x14ac:dyDescent="0.25">
      <c r="A26" s="7" t="s">
        <v>4</v>
      </c>
      <c r="B26" s="2">
        <v>2</v>
      </c>
    </row>
    <row r="27" spans="1:2" x14ac:dyDescent="0.25">
      <c r="A27" s="7" t="s">
        <v>5</v>
      </c>
      <c r="B27" s="2">
        <v>2</v>
      </c>
    </row>
    <row r="28" spans="1:2" x14ac:dyDescent="0.25">
      <c r="A28" s="7" t="s">
        <v>7</v>
      </c>
      <c r="B28" s="2">
        <v>1</v>
      </c>
    </row>
    <row r="29" spans="1:2" x14ac:dyDescent="0.25">
      <c r="A29" s="7" t="s">
        <v>14</v>
      </c>
      <c r="B29" s="2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5C2B-B041-4977-B0A7-208CE07F1329}">
  <dimension ref="A1:B23"/>
  <sheetViews>
    <sheetView workbookViewId="0">
      <selection activeCell="B18" sqref="B18"/>
    </sheetView>
  </sheetViews>
  <sheetFormatPr defaultRowHeight="15" x14ac:dyDescent="0.25"/>
  <cols>
    <col min="1" max="1" width="32.7109375" bestFit="1" customWidth="1"/>
    <col min="2" max="2" width="21.85546875" bestFit="1" customWidth="1"/>
  </cols>
  <sheetData>
    <row r="1" spans="1:2" x14ac:dyDescent="0.25">
      <c r="A1" s="8" t="s">
        <v>8</v>
      </c>
      <c r="B1" s="8" t="s">
        <v>0</v>
      </c>
    </row>
    <row r="2" spans="1:2" x14ac:dyDescent="0.25">
      <c r="A2" t="s">
        <v>10</v>
      </c>
      <c r="B2" t="s">
        <v>1</v>
      </c>
    </row>
    <row r="3" spans="1:2" x14ac:dyDescent="0.25">
      <c r="A3" t="s">
        <v>10</v>
      </c>
      <c r="B3" t="s">
        <v>6</v>
      </c>
    </row>
    <row r="4" spans="1:2" x14ac:dyDescent="0.25">
      <c r="A4" t="s">
        <v>10</v>
      </c>
      <c r="B4" t="s">
        <v>6</v>
      </c>
    </row>
    <row r="5" spans="1:2" x14ac:dyDescent="0.25">
      <c r="A5" t="s">
        <v>10</v>
      </c>
      <c r="B5" t="s">
        <v>5</v>
      </c>
    </row>
    <row r="6" spans="1:2" x14ac:dyDescent="0.25">
      <c r="A6" t="s">
        <v>10</v>
      </c>
      <c r="B6" t="s">
        <v>12</v>
      </c>
    </row>
    <row r="7" spans="1:2" x14ac:dyDescent="0.25">
      <c r="A7" t="s">
        <v>10</v>
      </c>
      <c r="B7" t="s">
        <v>1</v>
      </c>
    </row>
    <row r="8" spans="1:2" x14ac:dyDescent="0.25">
      <c r="A8" t="s">
        <v>10</v>
      </c>
      <c r="B8" t="s">
        <v>6</v>
      </c>
    </row>
    <row r="9" spans="1:2" x14ac:dyDescent="0.25">
      <c r="A9" t="s">
        <v>10</v>
      </c>
      <c r="B9" t="s">
        <v>7</v>
      </c>
    </row>
    <row r="10" spans="1:2" x14ac:dyDescent="0.25">
      <c r="A10" t="s">
        <v>10</v>
      </c>
      <c r="B10" t="s">
        <v>1</v>
      </c>
    </row>
    <row r="11" spans="1:2" x14ac:dyDescent="0.25">
      <c r="A11" t="s">
        <v>10</v>
      </c>
      <c r="B11" t="s">
        <v>5</v>
      </c>
    </row>
    <row r="12" spans="1:2" x14ac:dyDescent="0.25">
      <c r="A12" t="s">
        <v>10</v>
      </c>
      <c r="B12" t="s">
        <v>1</v>
      </c>
    </row>
    <row r="13" spans="1:2" x14ac:dyDescent="0.25">
      <c r="A13" t="s">
        <v>10</v>
      </c>
      <c r="B13" t="s">
        <v>5</v>
      </c>
    </row>
    <row r="14" spans="1:2" x14ac:dyDescent="0.25">
      <c r="A14" t="s">
        <v>10</v>
      </c>
      <c r="B14" t="s">
        <v>6</v>
      </c>
    </row>
    <row r="17" spans="1:2" x14ac:dyDescent="0.25">
      <c r="A17" s="5" t="s">
        <v>13</v>
      </c>
      <c r="B17" t="s">
        <v>15</v>
      </c>
    </row>
    <row r="18" spans="1:2" x14ac:dyDescent="0.25">
      <c r="A18" s="7" t="s">
        <v>6</v>
      </c>
      <c r="B18" s="2">
        <v>4</v>
      </c>
    </row>
    <row r="19" spans="1:2" x14ac:dyDescent="0.25">
      <c r="A19" s="7" t="s">
        <v>1</v>
      </c>
      <c r="B19" s="2">
        <v>4</v>
      </c>
    </row>
    <row r="20" spans="1:2" x14ac:dyDescent="0.25">
      <c r="A20" s="7" t="s">
        <v>5</v>
      </c>
      <c r="B20" s="2">
        <v>3</v>
      </c>
    </row>
    <row r="21" spans="1:2" x14ac:dyDescent="0.25">
      <c r="A21" s="7" t="s">
        <v>7</v>
      </c>
      <c r="B21" s="2">
        <v>1</v>
      </c>
    </row>
    <row r="22" spans="1:2" x14ac:dyDescent="0.25">
      <c r="A22" s="7" t="s">
        <v>12</v>
      </c>
      <c r="B22" s="2">
        <v>1</v>
      </c>
    </row>
    <row r="23" spans="1:2" x14ac:dyDescent="0.25">
      <c r="A23" s="7" t="s">
        <v>14</v>
      </c>
      <c r="B23" s="2">
        <v>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ADF2-A507-417B-BC10-40F0A5589BF2}">
  <dimension ref="A1:B42"/>
  <sheetViews>
    <sheetView topLeftCell="A13" workbookViewId="0">
      <selection activeCell="I25" sqref="I25"/>
    </sheetView>
  </sheetViews>
  <sheetFormatPr defaultRowHeight="15" x14ac:dyDescent="0.25"/>
  <cols>
    <col min="1" max="1" width="32.7109375" bestFit="1" customWidth="1"/>
    <col min="2" max="2" width="21.85546875" bestFit="1" customWidth="1"/>
  </cols>
  <sheetData>
    <row r="1" spans="1:2" x14ac:dyDescent="0.25">
      <c r="A1" s="10" t="s">
        <v>8</v>
      </c>
      <c r="B1" s="10" t="s">
        <v>0</v>
      </c>
    </row>
    <row r="2" spans="1:2" x14ac:dyDescent="0.25">
      <c r="A2" t="s">
        <v>10</v>
      </c>
      <c r="B2" t="s">
        <v>1</v>
      </c>
    </row>
    <row r="3" spans="1:2" x14ac:dyDescent="0.25">
      <c r="A3" t="s">
        <v>11</v>
      </c>
      <c r="B3" t="s">
        <v>4</v>
      </c>
    </row>
    <row r="4" spans="1:2" x14ac:dyDescent="0.25">
      <c r="A4" t="s">
        <v>11</v>
      </c>
      <c r="B4" t="s">
        <v>1</v>
      </c>
    </row>
    <row r="5" spans="1:2" x14ac:dyDescent="0.25">
      <c r="A5" t="s">
        <v>10</v>
      </c>
      <c r="B5" t="s">
        <v>6</v>
      </c>
    </row>
    <row r="6" spans="1:2" x14ac:dyDescent="0.25">
      <c r="A6" t="s">
        <v>10</v>
      </c>
      <c r="B6" t="s">
        <v>6</v>
      </c>
    </row>
    <row r="7" spans="1:2" x14ac:dyDescent="0.25">
      <c r="A7" t="s">
        <v>11</v>
      </c>
      <c r="B7" t="s">
        <v>3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1</v>
      </c>
    </row>
    <row r="10" spans="1:2" x14ac:dyDescent="0.25">
      <c r="A10" t="s">
        <v>11</v>
      </c>
      <c r="B10" t="s">
        <v>6</v>
      </c>
    </row>
    <row r="11" spans="1:2" x14ac:dyDescent="0.25">
      <c r="A11" t="s">
        <v>11</v>
      </c>
      <c r="B11" t="s">
        <v>3</v>
      </c>
    </row>
    <row r="12" spans="1:2" x14ac:dyDescent="0.25">
      <c r="A12" t="s">
        <v>10</v>
      </c>
      <c r="B12" t="s">
        <v>12</v>
      </c>
    </row>
    <row r="13" spans="1:2" x14ac:dyDescent="0.25">
      <c r="A13" t="s">
        <v>10</v>
      </c>
      <c r="B13" t="s">
        <v>1</v>
      </c>
    </row>
    <row r="14" spans="1:2" x14ac:dyDescent="0.25">
      <c r="A14" t="s">
        <v>11</v>
      </c>
      <c r="B14" t="s">
        <v>6</v>
      </c>
    </row>
    <row r="15" spans="1:2" x14ac:dyDescent="0.25">
      <c r="A15" t="s">
        <v>10</v>
      </c>
      <c r="B15" t="s">
        <v>6</v>
      </c>
    </row>
    <row r="16" spans="1:2" x14ac:dyDescent="0.25">
      <c r="A16" t="s">
        <v>11</v>
      </c>
      <c r="B16" t="s">
        <v>2</v>
      </c>
    </row>
    <row r="17" spans="1:2" x14ac:dyDescent="0.25">
      <c r="A17" t="s">
        <v>11</v>
      </c>
      <c r="B17" t="s">
        <v>1</v>
      </c>
    </row>
    <row r="18" spans="1:2" x14ac:dyDescent="0.25">
      <c r="A18" t="s">
        <v>11</v>
      </c>
      <c r="B18" t="s">
        <v>1</v>
      </c>
    </row>
    <row r="19" spans="1:2" x14ac:dyDescent="0.25">
      <c r="A19" t="s">
        <v>11</v>
      </c>
      <c r="B19" t="s">
        <v>5</v>
      </c>
    </row>
    <row r="20" spans="1:2" x14ac:dyDescent="0.25">
      <c r="A20" t="s">
        <v>11</v>
      </c>
      <c r="B20" t="s">
        <v>5</v>
      </c>
    </row>
    <row r="21" spans="1:2" x14ac:dyDescent="0.25">
      <c r="A21" t="s">
        <v>11</v>
      </c>
      <c r="B21" t="s">
        <v>7</v>
      </c>
    </row>
    <row r="22" spans="1:2" x14ac:dyDescent="0.25">
      <c r="A22" t="s">
        <v>10</v>
      </c>
      <c r="B22" t="s">
        <v>7</v>
      </c>
    </row>
    <row r="23" spans="1:2" x14ac:dyDescent="0.25">
      <c r="A23" t="s">
        <v>11</v>
      </c>
      <c r="B23" t="s">
        <v>2</v>
      </c>
    </row>
    <row r="24" spans="1:2" x14ac:dyDescent="0.25">
      <c r="A24" t="s">
        <v>10</v>
      </c>
      <c r="B24" t="s">
        <v>1</v>
      </c>
    </row>
    <row r="25" spans="1:2" x14ac:dyDescent="0.25">
      <c r="A25" t="s">
        <v>11</v>
      </c>
      <c r="B25" t="s">
        <v>2</v>
      </c>
    </row>
    <row r="26" spans="1:2" x14ac:dyDescent="0.25">
      <c r="A26" t="s">
        <v>11</v>
      </c>
      <c r="B26" t="s">
        <v>1</v>
      </c>
    </row>
    <row r="27" spans="1:2" x14ac:dyDescent="0.25">
      <c r="A27" t="s">
        <v>10</v>
      </c>
      <c r="B27" t="s">
        <v>5</v>
      </c>
    </row>
    <row r="28" spans="1:2" x14ac:dyDescent="0.25">
      <c r="A28" t="s">
        <v>11</v>
      </c>
      <c r="B28" t="s">
        <v>4</v>
      </c>
    </row>
    <row r="29" spans="1:2" x14ac:dyDescent="0.25">
      <c r="A29" t="s">
        <v>10</v>
      </c>
      <c r="B29" t="s">
        <v>1</v>
      </c>
    </row>
    <row r="30" spans="1:2" x14ac:dyDescent="0.25">
      <c r="A30" t="s">
        <v>10</v>
      </c>
      <c r="B30" t="s">
        <v>5</v>
      </c>
    </row>
    <row r="31" spans="1:2" x14ac:dyDescent="0.25">
      <c r="A31" t="s">
        <v>10</v>
      </c>
      <c r="B31" t="s">
        <v>6</v>
      </c>
    </row>
    <row r="33" spans="1:2" x14ac:dyDescent="0.25">
      <c r="A33" s="5" t="s">
        <v>13</v>
      </c>
      <c r="B33" t="s">
        <v>15</v>
      </c>
    </row>
    <row r="34" spans="1:2" x14ac:dyDescent="0.25">
      <c r="A34" s="7" t="s">
        <v>1</v>
      </c>
      <c r="B34" s="2">
        <v>9</v>
      </c>
    </row>
    <row r="35" spans="1:2" x14ac:dyDescent="0.25">
      <c r="A35" s="7" t="s">
        <v>6</v>
      </c>
      <c r="B35" s="2">
        <v>6</v>
      </c>
    </row>
    <row r="36" spans="1:2" x14ac:dyDescent="0.25">
      <c r="A36" s="7" t="s">
        <v>5</v>
      </c>
      <c r="B36" s="2">
        <v>5</v>
      </c>
    </row>
    <row r="37" spans="1:2" x14ac:dyDescent="0.25">
      <c r="A37" s="7" t="s">
        <v>2</v>
      </c>
      <c r="B37" s="2">
        <v>3</v>
      </c>
    </row>
    <row r="38" spans="1:2" x14ac:dyDescent="0.25">
      <c r="A38" s="7" t="s">
        <v>3</v>
      </c>
      <c r="B38" s="2">
        <v>2</v>
      </c>
    </row>
    <row r="39" spans="1:2" x14ac:dyDescent="0.25">
      <c r="A39" s="7" t="s">
        <v>7</v>
      </c>
      <c r="B39" s="2">
        <v>2</v>
      </c>
    </row>
    <row r="40" spans="1:2" x14ac:dyDescent="0.25">
      <c r="A40" s="7" t="s">
        <v>4</v>
      </c>
      <c r="B40" s="2">
        <v>2</v>
      </c>
    </row>
    <row r="41" spans="1:2" x14ac:dyDescent="0.25">
      <c r="A41" s="7" t="s">
        <v>12</v>
      </c>
      <c r="B41" s="2">
        <v>1</v>
      </c>
    </row>
    <row r="42" spans="1:2" x14ac:dyDescent="0.25">
      <c r="A42" s="7" t="s">
        <v>14</v>
      </c>
      <c r="B42" s="2">
        <v>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7E731-4431-465E-9514-0889F08436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não tem_cmo</vt:lpstr>
      <vt:lpstr>tem_cmo</vt:lpstr>
      <vt:lpstr>em progresso</vt:lpstr>
      <vt:lpstr>em+em_progresso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Luiz Vianna</cp:lastModifiedBy>
  <dcterms:created xsi:type="dcterms:W3CDTF">2026-08-23T12:45:42Z</dcterms:created>
  <dcterms:modified xsi:type="dcterms:W3CDTF">2026-08-23T17:09:31Z</dcterms:modified>
</cp:coreProperties>
</file>